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F" sheetId="1" state="visible" r:id="rId1"/>
    <sheet name="WAC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"/>
    <numFmt numFmtId="165" formatCode="$#,##0"/>
    <numFmt numFmtId="166" formatCode="0.0%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b val="1"/>
      <color rgb="00000000"/>
      <sz val="14"/>
    </font>
    <font>
      <name val="Calibri"/>
      <b val="1"/>
      <color rgb="00FFFFFF"/>
      <sz val="12"/>
    </font>
    <font>
      <name val="Calibri"/>
      <color rgb="00000000"/>
      <sz val="11"/>
    </font>
    <font>
      <name val="Calibri"/>
      <color rgb="000000FF"/>
      <sz val="11"/>
    </font>
    <font>
      <name val="Calibri"/>
      <b val="1"/>
      <color rgb="00000000"/>
      <sz val="11"/>
    </font>
    <font>
      <i val="1"/>
      <color rgb="00333333"/>
      <sz val="10"/>
    </font>
    <font>
      <b val="1"/>
      <color rgb="00000000"/>
    </font>
    <font>
      <name val="Calibri"/>
      <color rgb="00008000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BDD7EE"/>
      </patternFill>
    </fill>
  </fills>
  <borders count="3">
    <border>
      <left/>
      <right/>
      <top/>
      <bottom/>
      <diagonal/>
    </border>
    <border>
      <left style="medium">
        <color rgb="00333333"/>
      </left>
      <right style="medium">
        <color rgb="00333333"/>
      </right>
      <top style="medium">
        <color rgb="00333333"/>
      </top>
      <bottom style="medium">
        <color rgb="00333333"/>
      </bottom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5" fillId="0" borderId="2" pivotButton="0" quotePrefix="0" xfId="0"/>
    <xf numFmtId="0" fontId="4" fillId="3" borderId="2" pivotButton="0" quotePrefix="0" xfId="0"/>
    <xf numFmtId="0" fontId="7" fillId="0" borderId="2" pivotButton="0" quotePrefix="0" xfId="0"/>
    <xf numFmtId="0" fontId="3" fillId="0" borderId="2" pivotButton="0" quotePrefix="0" xfId="0"/>
    <xf numFmtId="164" fontId="4" fillId="3" borderId="2" pivotButton="0" quotePrefix="0" xfId="0"/>
    <xf numFmtId="165" fontId="4" fillId="3" borderId="2" pivotButton="0" quotePrefix="0" xfId="0"/>
    <xf numFmtId="10" fontId="3" fillId="0" borderId="2" pivotButton="0" quotePrefix="0" xfId="0"/>
    <xf numFmtId="0" fontId="5" fillId="4" borderId="2" applyAlignment="1" pivotButton="0" quotePrefix="0" xfId="0">
      <alignment horizontal="center"/>
    </xf>
    <xf numFmtId="166" fontId="4" fillId="3" borderId="2" pivotButton="0" quotePrefix="0" xfId="0"/>
    <xf numFmtId="166" fontId="3" fillId="0" borderId="2" pivotButton="0" quotePrefix="0" xfId="0"/>
    <xf numFmtId="166" fontId="8" fillId="0" borderId="2" pivotButton="0" quotePrefix="0" xfId="0"/>
    <xf numFmtId="167" fontId="4" fillId="3" borderId="2" pivotButton="0" quotePrefix="0" xfId="0"/>
    <xf numFmtId="167" fontId="3" fillId="0" borderId="2" pivotButton="0" quotePrefix="0" xfId="0"/>
    <xf numFmtId="167" fontId="7" fillId="4" borderId="2" pivotButton="0" quotePrefix="0" xfId="0"/>
    <xf numFmtId="2" fontId="4" fillId="3" borderId="2" pivotButton="0" quotePrefix="0" xfId="0"/>
    <xf numFmtId="168" fontId="3" fillId="0" borderId="2" pivotButton="0" quotePrefix="0" xfId="0"/>
    <xf numFmtId="167" fontId="5" fillId="5" borderId="1" pivotButton="0" quotePrefix="0" xfId="0"/>
    <xf numFmtId="165" fontId="3" fillId="0" borderId="2" pivotButton="0" quotePrefix="0" xfId="0"/>
    <xf numFmtId="0" fontId="5" fillId="4" borderId="2" pivotButton="0" quotePrefix="0" xfId="0"/>
    <xf numFmtId="166" fontId="5" fillId="4" borderId="2" applyAlignment="1" pivotButton="0" quotePrefix="0" xfId="0">
      <alignment horizontal="center"/>
    </xf>
    <xf numFmtId="165" fontId="7" fillId="5" borderId="1" pivotButton="0" quotePrefix="0" xfId="0"/>
    <xf numFmtId="10" fontId="4" fillId="3" borderId="2" pivotButton="0" quotePrefix="0" xfId="0"/>
    <xf numFmtId="1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Lupine DCF builder</author>
  </authors>
  <commentList>
    <comment ref="B5" authorId="0" shapeId="0">
      <text>
        <t>Source: User selectable: 1=Bear, 2=Base, 3=Bull</t>
      </text>
    </comment>
    <comment ref="B8" authorId="0" shapeId="0">
      <text>
        <t>Source: Founder ask: $5M-$10M seed; midpoint $8M</t>
      </text>
    </comment>
    <comment ref="B9" authorId="0" shapeId="0">
      <text>
        <t>Source: Founder ask: $100M-$200M post; midpoint $150M</t>
      </text>
    </comment>
    <comment ref="B11" authorId="0" shapeId="0">
      <text>
        <t>Source: Lupine has no debt; cash position not material at seed</t>
      </text>
    </comment>
    <comment ref="C15" authorId="0" shapeId="0">
      <text>
        <t>Source: Bear case revenue growth FY26</t>
      </text>
    </comment>
    <comment ref="D15" authorId="0" shapeId="0">
      <text>
        <t>Source: Bear case revenue growth FY27</t>
      </text>
    </comment>
    <comment ref="E15" authorId="0" shapeId="0">
      <text>
        <t>Source: Bear case revenue growth FY28</t>
      </text>
    </comment>
    <comment ref="F15" authorId="0" shapeId="0">
      <text>
        <t>Source: Bear case revenue growth FY29</t>
      </text>
    </comment>
    <comment ref="G15" authorId="0" shapeId="0">
      <text>
        <t>Source: Bear case revenue growth FY30</t>
      </text>
    </comment>
    <comment ref="H15" authorId="0" shapeId="0">
      <text>
        <t>Source: Bear case revenue growth FY31</t>
      </text>
    </comment>
    <comment ref="I15" authorId="0" shapeId="0">
      <text>
        <t>Source: Bear case revenue growth FY32</t>
      </text>
    </comment>
    <comment ref="C16" authorId="0" shapeId="0">
      <text>
        <t>Source: Bear case EBIT margin FY26</t>
      </text>
    </comment>
    <comment ref="D16" authorId="0" shapeId="0">
      <text>
        <t>Source: Bear case EBIT margin FY27</t>
      </text>
    </comment>
    <comment ref="E16" authorId="0" shapeId="0">
      <text>
        <t>Source: Bear case EBIT margin FY28</t>
      </text>
    </comment>
    <comment ref="F16" authorId="0" shapeId="0">
      <text>
        <t>Source: Bear case EBIT margin FY29</t>
      </text>
    </comment>
    <comment ref="G16" authorId="0" shapeId="0">
      <text>
        <t>Source: Bear case EBIT margin FY30</t>
      </text>
    </comment>
    <comment ref="H16" authorId="0" shapeId="0">
      <text>
        <t>Source: Bear case EBIT margin FY31</t>
      </text>
    </comment>
    <comment ref="I16" authorId="0" shapeId="0">
      <text>
        <t>Source: Bear case EBIT margin FY32</t>
      </text>
    </comment>
    <comment ref="C17" authorId="0" shapeId="0">
      <text>
        <t>Source: Bear case D&amp;A FY26</t>
      </text>
    </comment>
    <comment ref="D17" authorId="0" shapeId="0">
      <text>
        <t>Source: Bear case D&amp;A FY27</t>
      </text>
    </comment>
    <comment ref="E17" authorId="0" shapeId="0">
      <text>
        <t>Source: Bear case D&amp;A FY28</t>
      </text>
    </comment>
    <comment ref="F17" authorId="0" shapeId="0">
      <text>
        <t>Source: Bear case D&amp;A FY29</t>
      </text>
    </comment>
    <comment ref="G17" authorId="0" shapeId="0">
      <text>
        <t>Source: Bear case D&amp;A FY30</t>
      </text>
    </comment>
    <comment ref="H17" authorId="0" shapeId="0">
      <text>
        <t>Source: Bear case D&amp;A FY31</t>
      </text>
    </comment>
    <comment ref="I17" authorId="0" shapeId="0">
      <text>
        <t>Source: Bear case D&amp;A FY32</t>
      </text>
    </comment>
    <comment ref="C18" authorId="0" shapeId="0">
      <text>
        <t>Source: Bear case CapEx FY26</t>
      </text>
    </comment>
    <comment ref="D18" authorId="0" shapeId="0">
      <text>
        <t>Source: Bear case CapEx FY27</t>
      </text>
    </comment>
    <comment ref="E18" authorId="0" shapeId="0">
      <text>
        <t>Source: Bear case CapEx FY28</t>
      </text>
    </comment>
    <comment ref="F18" authorId="0" shapeId="0">
      <text>
        <t>Source: Bear case CapEx FY29</t>
      </text>
    </comment>
    <comment ref="G18" authorId="0" shapeId="0">
      <text>
        <t>Source: Bear case CapEx FY30</t>
      </text>
    </comment>
    <comment ref="H18" authorId="0" shapeId="0">
      <text>
        <t>Source: Bear case CapEx FY31</t>
      </text>
    </comment>
    <comment ref="I18" authorId="0" shapeId="0">
      <text>
        <t>Source: Bear case CapEx FY32</t>
      </text>
    </comment>
    <comment ref="C19" authorId="0" shapeId="0">
      <text>
        <t>Source: Bear case NWC FY26</t>
      </text>
    </comment>
    <comment ref="D19" authorId="0" shapeId="0">
      <text>
        <t>Source: Bear case NWC FY27</t>
      </text>
    </comment>
    <comment ref="E19" authorId="0" shapeId="0">
      <text>
        <t>Source: Bear case NWC FY28</t>
      </text>
    </comment>
    <comment ref="F19" authorId="0" shapeId="0">
      <text>
        <t>Source: Bear case NWC FY29</t>
      </text>
    </comment>
    <comment ref="G19" authorId="0" shapeId="0">
      <text>
        <t>Source: Bear case NWC FY30</t>
      </text>
    </comment>
    <comment ref="H19" authorId="0" shapeId="0">
      <text>
        <t>Source: Bear case NWC FY31</t>
      </text>
    </comment>
    <comment ref="I19" authorId="0" shapeId="0">
      <text>
        <t>Source: Bear case NWC FY32</t>
      </text>
    </comment>
    <comment ref="C23" authorId="0" shapeId="0">
      <text>
        <t>Source: Base case revenue growth FY26 (lupine_revenue_v2.csv:rev-total derived)</t>
      </text>
    </comment>
    <comment ref="D23" authorId="0" shapeId="0">
      <text>
        <t>Source: Base case revenue growth FY27 (lupine_revenue_v2.csv:rev-total derived)</t>
      </text>
    </comment>
    <comment ref="E23" authorId="0" shapeId="0">
      <text>
        <t>Source: Base case revenue growth FY28 (lupine_revenue_v2.csv:rev-total derived)</t>
      </text>
    </comment>
    <comment ref="F23" authorId="0" shapeId="0">
      <text>
        <t>Source: Base case revenue growth FY29 (lupine_revenue_v2.csv:rev-total derived)</t>
      </text>
    </comment>
    <comment ref="G23" authorId="0" shapeId="0">
      <text>
        <t>Source: Base case revenue growth FY30 (lupine_revenue_v2.csv:rev-total derived)</t>
      </text>
    </comment>
    <comment ref="H23" authorId="0" shapeId="0">
      <text>
        <t>Source: Base case revenue growth FY31 (lupine_revenue_v2.csv:rev-total derived)</t>
      </text>
    </comment>
    <comment ref="I23" authorId="0" shapeId="0">
      <text>
        <t>Source: Base case revenue growth FY32 (lupine_revenue_v2.csv:rev-total derived)</t>
      </text>
    </comment>
    <comment ref="C24" authorId="0" shapeId="0">
      <text>
        <t>Source: Base case EBIT margin FY26 (lupine_revenue_v2.csv:ebit-margin)</t>
      </text>
    </comment>
    <comment ref="D24" authorId="0" shapeId="0">
      <text>
        <t>Source: Base case EBIT margin FY27 (lupine_revenue_v2.csv:ebit-margin)</t>
      </text>
    </comment>
    <comment ref="E24" authorId="0" shapeId="0">
      <text>
        <t>Source: Base case EBIT margin FY28 (lupine_revenue_v2.csv:ebit-margin)</t>
      </text>
    </comment>
    <comment ref="F24" authorId="0" shapeId="0">
      <text>
        <t>Source: Base case EBIT margin FY29 (lupine_revenue_v2.csv:ebit-margin)</t>
      </text>
    </comment>
    <comment ref="G24" authorId="0" shapeId="0">
      <text>
        <t>Source: Base case EBIT margin FY30 (lupine_revenue_v2.csv:ebit-margin)</t>
      </text>
    </comment>
    <comment ref="H24" authorId="0" shapeId="0">
      <text>
        <t>Source: Base case EBIT margin FY31 (lupine_revenue_v2.csv:ebit-margin)</t>
      </text>
    </comment>
    <comment ref="I24" authorId="0" shapeId="0">
      <text>
        <t>Source: Base case EBIT margin FY32 (lupine_revenue_v2.csv:ebit-margin)</t>
      </text>
    </comment>
    <comment ref="C25" authorId="0" shapeId="0">
      <text>
        <t>Source: Base case D&amp;A FY26 (lupine_revenue_v2.csv)</t>
      </text>
    </comment>
    <comment ref="D25" authorId="0" shapeId="0">
      <text>
        <t>Source: Base case D&amp;A FY27 (lupine_revenue_v2.csv)</t>
      </text>
    </comment>
    <comment ref="E25" authorId="0" shapeId="0">
      <text>
        <t>Source: Base case D&amp;A FY28 (lupine_revenue_v2.csv)</t>
      </text>
    </comment>
    <comment ref="F25" authorId="0" shapeId="0">
      <text>
        <t>Source: Base case D&amp;A FY29 (lupine_revenue_v2.csv)</t>
      </text>
    </comment>
    <comment ref="G25" authorId="0" shapeId="0">
      <text>
        <t>Source: Base case D&amp;A FY30 (lupine_revenue_v2.csv)</t>
      </text>
    </comment>
    <comment ref="H25" authorId="0" shapeId="0">
      <text>
        <t>Source: Base case D&amp;A FY31 (lupine_revenue_v2.csv)</t>
      </text>
    </comment>
    <comment ref="I25" authorId="0" shapeId="0">
      <text>
        <t>Source: Base case D&amp;A FY32 (lupine_revenue_v2.csv)</t>
      </text>
    </comment>
    <comment ref="C26" authorId="0" shapeId="0">
      <text>
        <t>Source: Base case CapEx FY26 (lupine_revenue_v2.csv)</t>
      </text>
    </comment>
    <comment ref="D26" authorId="0" shapeId="0">
      <text>
        <t>Source: Base case CapEx FY27 (lupine_revenue_v2.csv)</t>
      </text>
    </comment>
    <comment ref="E26" authorId="0" shapeId="0">
      <text>
        <t>Source: Base case CapEx FY28 (lupine_revenue_v2.csv)</t>
      </text>
    </comment>
    <comment ref="F26" authorId="0" shapeId="0">
      <text>
        <t>Source: Base case CapEx FY29 (lupine_revenue_v2.csv)</t>
      </text>
    </comment>
    <comment ref="G26" authorId="0" shapeId="0">
      <text>
        <t>Source: Base case CapEx FY30 (lupine_revenue_v2.csv)</t>
      </text>
    </comment>
    <comment ref="H26" authorId="0" shapeId="0">
      <text>
        <t>Source: Base case CapEx FY31 (lupine_revenue_v2.csv)</t>
      </text>
    </comment>
    <comment ref="I26" authorId="0" shapeId="0">
      <text>
        <t>Source: Base case CapEx FY32 (lupine_revenue_v2.csv)</t>
      </text>
    </comment>
    <comment ref="C27" authorId="0" shapeId="0">
      <text>
        <t>Source: Base case NWC FY26 (lupine_revenue_v2.csv)</t>
      </text>
    </comment>
    <comment ref="D27" authorId="0" shapeId="0">
      <text>
        <t>Source: Base case NWC FY27 (lupine_revenue_v2.csv)</t>
      </text>
    </comment>
    <comment ref="E27" authorId="0" shapeId="0">
      <text>
        <t>Source: Base case NWC FY28 (lupine_revenue_v2.csv)</t>
      </text>
    </comment>
    <comment ref="F27" authorId="0" shapeId="0">
      <text>
        <t>Source: Base case NWC FY29 (lupine_revenue_v2.csv)</t>
      </text>
    </comment>
    <comment ref="G27" authorId="0" shapeId="0">
      <text>
        <t>Source: Base case NWC FY30 (lupine_revenue_v2.csv)</t>
      </text>
    </comment>
    <comment ref="H27" authorId="0" shapeId="0">
      <text>
        <t>Source: Base case NWC FY31 (lupine_revenue_v2.csv)</t>
      </text>
    </comment>
    <comment ref="I27" authorId="0" shapeId="0">
      <text>
        <t>Source: Base case NWC FY32 (lupine_revenue_v2.csv)</t>
      </text>
    </comment>
    <comment ref="C31" authorId="0" shapeId="0">
      <text>
        <t>Source: Bull case revenue growth FY26</t>
      </text>
    </comment>
    <comment ref="D31" authorId="0" shapeId="0">
      <text>
        <t>Source: Bull case revenue growth FY27</t>
      </text>
    </comment>
    <comment ref="E31" authorId="0" shapeId="0">
      <text>
        <t>Source: Bull case revenue growth FY28</t>
      </text>
    </comment>
    <comment ref="F31" authorId="0" shapeId="0">
      <text>
        <t>Source: Bull case revenue growth FY29</t>
      </text>
    </comment>
    <comment ref="G31" authorId="0" shapeId="0">
      <text>
        <t>Source: Bull case revenue growth FY30</t>
      </text>
    </comment>
    <comment ref="H31" authorId="0" shapeId="0">
      <text>
        <t>Source: Bull case revenue growth FY31</t>
      </text>
    </comment>
    <comment ref="I31" authorId="0" shapeId="0">
      <text>
        <t>Source: Bull case revenue growth FY32</t>
      </text>
    </comment>
    <comment ref="C32" authorId="0" shapeId="0">
      <text>
        <t>Source: Bull case EBIT margin FY26</t>
      </text>
    </comment>
    <comment ref="D32" authorId="0" shapeId="0">
      <text>
        <t>Source: Bull case EBIT margin FY27</t>
      </text>
    </comment>
    <comment ref="E32" authorId="0" shapeId="0">
      <text>
        <t>Source: Bull case EBIT margin FY28</t>
      </text>
    </comment>
    <comment ref="F32" authorId="0" shapeId="0">
      <text>
        <t>Source: Bull case EBIT margin FY29</t>
      </text>
    </comment>
    <comment ref="G32" authorId="0" shapeId="0">
      <text>
        <t>Source: Bull case EBIT margin FY30</t>
      </text>
    </comment>
    <comment ref="H32" authorId="0" shapeId="0">
      <text>
        <t>Source: Bull case EBIT margin FY31</t>
      </text>
    </comment>
    <comment ref="I32" authorId="0" shapeId="0">
      <text>
        <t>Source: Bull case EBIT margin FY32</t>
      </text>
    </comment>
    <comment ref="C33" authorId="0" shapeId="0">
      <text>
        <t>Source: Bull case D&amp;A FY26</t>
      </text>
    </comment>
    <comment ref="D33" authorId="0" shapeId="0">
      <text>
        <t>Source: Bull case D&amp;A FY27</t>
      </text>
    </comment>
    <comment ref="E33" authorId="0" shapeId="0">
      <text>
        <t>Source: Bull case D&amp;A FY28</t>
      </text>
    </comment>
    <comment ref="F33" authorId="0" shapeId="0">
      <text>
        <t>Source: Bull case D&amp;A FY29</t>
      </text>
    </comment>
    <comment ref="G33" authorId="0" shapeId="0">
      <text>
        <t>Source: Bull case D&amp;A FY30</t>
      </text>
    </comment>
    <comment ref="H33" authorId="0" shapeId="0">
      <text>
        <t>Source: Bull case D&amp;A FY31</t>
      </text>
    </comment>
    <comment ref="I33" authorId="0" shapeId="0">
      <text>
        <t>Source: Bull case D&amp;A FY32</t>
      </text>
    </comment>
    <comment ref="C34" authorId="0" shapeId="0">
      <text>
        <t>Source: Bull case CapEx FY26</t>
      </text>
    </comment>
    <comment ref="D34" authorId="0" shapeId="0">
      <text>
        <t>Source: Bull case CapEx FY27</t>
      </text>
    </comment>
    <comment ref="E34" authorId="0" shapeId="0">
      <text>
        <t>Source: Bull case CapEx FY28</t>
      </text>
    </comment>
    <comment ref="F34" authorId="0" shapeId="0">
      <text>
        <t>Source: Bull case CapEx FY29</t>
      </text>
    </comment>
    <comment ref="G34" authorId="0" shapeId="0">
      <text>
        <t>Source: Bull case CapEx FY30</t>
      </text>
    </comment>
    <comment ref="H34" authorId="0" shapeId="0">
      <text>
        <t>Source: Bull case CapEx FY31</t>
      </text>
    </comment>
    <comment ref="I34" authorId="0" shapeId="0">
      <text>
        <t>Source: Bull case CapEx FY32</t>
      </text>
    </comment>
    <comment ref="C35" authorId="0" shapeId="0">
      <text>
        <t>Source: Bull case NWC FY26</t>
      </text>
    </comment>
    <comment ref="D35" authorId="0" shapeId="0">
      <text>
        <t>Source: Bull case NWC FY27</t>
      </text>
    </comment>
    <comment ref="E35" authorId="0" shapeId="0">
      <text>
        <t>Source: Bull case NWC FY28</t>
      </text>
    </comment>
    <comment ref="F35" authorId="0" shapeId="0">
      <text>
        <t>Source: Bull case NWC FY29</t>
      </text>
    </comment>
    <comment ref="G35" authorId="0" shapeId="0">
      <text>
        <t>Source: Bull case NWC FY30</t>
      </text>
    </comment>
    <comment ref="H35" authorId="0" shapeId="0">
      <text>
        <t>Source: Bull case NWC FY31</t>
      </text>
    </comment>
    <comment ref="I35" authorId="0" shapeId="0">
      <text>
        <t>Source: Bull case NWC FY32</t>
      </text>
    </comment>
    <comment ref="B46" authorId="0" shapeId="0">
      <text>
        <t>Source: US federal corporate tax rate; pre-revenue years effectively 0% via NOL but conservative to model 21%</t>
      </text>
    </comment>
    <comment ref="B47" authorId="0" shapeId="0">
      <text>
        <t>Source: Bear terminal growth (value-model/dcf_inputs.csv:terminal-growth-bear)</t>
      </text>
    </comment>
    <comment ref="C47" authorId="0" shapeId="0">
      <text>
        <t>Source: Base terminal growth (value-model/dcf_inputs.csv:terminal-growth-base)</t>
      </text>
    </comment>
    <comment ref="D47" authorId="0" shapeId="0">
      <text>
        <t>Source: Bull terminal growth (value-model/dcf_inputs.csv:terminal-growth-bull)</t>
      </text>
    </comment>
    <comment ref="B48" authorId="0" shapeId="0">
      <text>
        <t>Source: Bear WACC (value-model/dcf_inputs.csv:wacc-bear)</t>
      </text>
    </comment>
    <comment ref="D48" authorId="0" shapeId="0">
      <text>
        <t>Source: Bull WACC (value-model/dcf_inputs.csv:wacc-bull)</t>
      </text>
    </comment>
    <comment ref="B52" authorId="0" shapeId="0">
      <text>
        <t>Source: Atlas-distill + paid-pilot scoping baseline; near-zero LTM</t>
      </text>
    </comment>
    <comment ref="C61" authorId="0" shapeId="0">
      <text>
        <t>Source: Mid-year convention period 0.5</t>
      </text>
    </comment>
    <comment ref="D61" authorId="0" shapeId="0">
      <text>
        <t>Source: Mid-year convention period 1.5</t>
      </text>
    </comment>
    <comment ref="E61" authorId="0" shapeId="0">
      <text>
        <t>Source: Mid-year convention period 2.5</t>
      </text>
    </comment>
    <comment ref="F61" authorId="0" shapeId="0">
      <text>
        <t>Source: Mid-year convention period 3.5</t>
      </text>
    </comment>
    <comment ref="G61" authorId="0" shapeId="0">
      <text>
        <t>Source: Mid-year convention period 4.5</t>
      </text>
    </comment>
    <comment ref="H61" authorId="0" shapeId="0">
      <text>
        <t>Source: Mid-year convention period 5.5</t>
      </text>
    </comment>
    <comment ref="I61" authorId="0" shapeId="0">
      <text>
        <t>Source: Mid-year convention period 6.5</t>
      </text>
    </comment>
  </commentList>
</comments>
</file>

<file path=xl/comments/comment2.xml><?xml version="1.0" encoding="utf-8"?>
<comments xmlns="http://schemas.openxmlformats.org/spreadsheetml/2006/main">
  <authors>
    <author>Lupine DCF builder</author>
  </authors>
  <commentList>
    <comment ref="B4" authorId="0" shapeId="0">
      <text>
        <t>Source: value-model/dcf_inputs.csv:risk-free-rate (US Treasury 10Y May 2026)</t>
      </text>
    </comment>
    <comment ref="B5" authorId="0" shapeId="0">
      <text>
        <t>Source: value-model/dcf_inputs.csv:beta-base (Damodaran NYU 2026 industry beta)</t>
      </text>
    </comment>
    <comment ref="B6" authorId="0" shapeId="0">
      <text>
        <t>Source: value-model/dcf_inputs.csv:equity-risk-premium (Damodaran NYU 2026)</t>
      </text>
    </comment>
    <comment ref="B10" authorId="0" shapeId="0">
      <text>
        <t>Source: Mid-market venture-debt 2026</t>
      </text>
    </comment>
    <comment ref="B11" authorId="0" shapeId="0">
      <text>
        <t>Source: US federal corporate tax rate</t>
      </text>
    </comment>
    <comment ref="B15" authorId="0" shapeId="0">
      <text>
        <t>Source: value-model/dcf_inputs.csv:debt-weight (Lupine ~100% equity post-seed)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Lupine Materials Science — DCF Model</t>
        </is>
      </c>
    </row>
    <row r="2">
      <c r="A2" s="2" t="inlineStr">
        <is>
          <t>Pre-revenue seed; bottom-up sector value-unlock build; mid-year discount</t>
        </is>
      </c>
    </row>
    <row r="4">
      <c r="A4" s="3" t="inlineStr">
        <is>
          <t>CASE SELECTOR (1=Bear  2=Base  3=Bull)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A5" s="5" t="inlineStr">
        <is>
          <t>Case selector cell</t>
        </is>
      </c>
      <c r="B5" s="6" t="n">
        <v>2</v>
      </c>
      <c r="C5" s="7">
        <f>IF(B5=1,"Bear",IF(B5=2,"Base","Bull"))</f>
        <v/>
      </c>
    </row>
    <row r="7">
      <c r="A7" s="3" t="inlineStr">
        <is>
          <t>MARKET DATA &amp; KEY INPUTS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8" t="inlineStr">
        <is>
          <t>Round size (mid-point) ($M)</t>
        </is>
      </c>
      <c r="B8" s="9" t="n">
        <v>8</v>
      </c>
    </row>
    <row r="9">
      <c r="A9" s="8" t="inlineStr">
        <is>
          <t>Post-money valuation (mid-point) ($M)</t>
        </is>
      </c>
      <c r="B9" s="10" t="n">
        <v>150</v>
      </c>
    </row>
    <row r="10">
      <c r="A10" s="8" t="inlineStr">
        <is>
          <t>Implied seed dilution</t>
        </is>
      </c>
      <c r="B10" s="11">
        <f>B8/B9</f>
        <v/>
      </c>
    </row>
    <row r="11">
      <c r="A11" s="8" t="inlineStr">
        <is>
          <t>Net debt ($M)</t>
        </is>
      </c>
      <c r="B11" s="10" t="n">
        <v>0</v>
      </c>
    </row>
    <row r="13">
      <c r="A13" s="3" t="inlineStr">
        <is>
          <t>BEAR CASE ASSUMPTIONS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12" t="inlineStr">
        <is>
          <t>Assumption</t>
        </is>
      </c>
      <c r="C14" s="12" t="inlineStr">
        <is>
          <t>FY26</t>
        </is>
      </c>
      <c r="D14" s="12" t="inlineStr">
        <is>
          <t>FY27</t>
        </is>
      </c>
      <c r="E14" s="12" t="inlineStr">
        <is>
          <t>FY28</t>
        </is>
      </c>
      <c r="F14" s="12" t="inlineStr">
        <is>
          <t>FY29</t>
        </is>
      </c>
      <c r="G14" s="12" t="inlineStr">
        <is>
          <t>FY30</t>
        </is>
      </c>
      <c r="H14" s="12" t="inlineStr">
        <is>
          <t>FY31</t>
        </is>
      </c>
      <c r="I14" s="12" t="inlineStr">
        <is>
          <t>FY32</t>
        </is>
      </c>
    </row>
    <row r="15">
      <c r="A15" s="8" t="inlineStr">
        <is>
          <t>Revenue growth (%)</t>
        </is>
      </c>
      <c r="C15" s="13" t="n">
        <v>0.12</v>
      </c>
      <c r="D15" s="13" t="n">
        <v>0.3</v>
      </c>
      <c r="E15" s="13" t="n">
        <v>0.6</v>
      </c>
      <c r="F15" s="13" t="n">
        <v>0.8</v>
      </c>
      <c r="G15" s="13" t="n">
        <v>0.7</v>
      </c>
      <c r="H15" s="13" t="n">
        <v>0.5</v>
      </c>
      <c r="I15" s="13" t="n">
        <v>0.4</v>
      </c>
    </row>
    <row r="16">
      <c r="A16" s="8" t="inlineStr">
        <is>
          <t>EBIT margin (%)</t>
        </is>
      </c>
      <c r="C16" s="13" t="n">
        <v>-6</v>
      </c>
      <c r="D16" s="13" t="n">
        <v>-1</v>
      </c>
      <c r="E16" s="13" t="n">
        <v>-0.5</v>
      </c>
      <c r="F16" s="13" t="n">
        <v>-0.1</v>
      </c>
      <c r="G16" s="13" t="n">
        <v>0.1</v>
      </c>
      <c r="H16" s="13" t="n">
        <v>0.2</v>
      </c>
      <c r="I16" s="13" t="n">
        <v>0.28</v>
      </c>
    </row>
    <row r="17">
      <c r="A17" s="8" t="inlineStr">
        <is>
          <t>D&amp;A (% of revenue)</t>
        </is>
      </c>
      <c r="C17" s="13" t="n">
        <v>0.03</v>
      </c>
      <c r="D17" s="13" t="n">
        <v>0.04</v>
      </c>
      <c r="E17" s="13" t="n">
        <v>0.04</v>
      </c>
      <c r="F17" s="13" t="n">
        <v>0.03</v>
      </c>
      <c r="G17" s="13" t="n">
        <v>0.03</v>
      </c>
      <c r="H17" s="13" t="n">
        <v>0.03</v>
      </c>
      <c r="I17" s="13" t="n">
        <v>0.02</v>
      </c>
    </row>
    <row r="18">
      <c r="A18" s="8" t="inlineStr">
        <is>
          <t>CapEx (% of revenue)</t>
        </is>
      </c>
      <c r="C18" s="13" t="n">
        <v>0.05</v>
      </c>
      <c r="D18" s="13" t="n">
        <v>0.04</v>
      </c>
      <c r="E18" s="13" t="n">
        <v>0.04</v>
      </c>
      <c r="F18" s="13" t="n">
        <v>0.03</v>
      </c>
      <c r="G18" s="13" t="n">
        <v>0.03</v>
      </c>
      <c r="H18" s="13" t="n">
        <v>0.03</v>
      </c>
      <c r="I18" s="13" t="n">
        <v>0.02</v>
      </c>
    </row>
    <row r="19">
      <c r="A19" s="8" t="inlineStr">
        <is>
          <t>NWC change (% of d-Rev)</t>
        </is>
      </c>
      <c r="C19" s="13" t="n">
        <v>0.1</v>
      </c>
      <c r="D19" s="13" t="n">
        <v>0.1</v>
      </c>
      <c r="E19" s="13" t="n">
        <v>0.08</v>
      </c>
      <c r="F19" s="13" t="n">
        <v>0.08</v>
      </c>
      <c r="G19" s="13" t="n">
        <v>0.07000000000000001</v>
      </c>
      <c r="H19" s="13" t="n">
        <v>0.07000000000000001</v>
      </c>
      <c r="I19" s="13" t="n">
        <v>0.06</v>
      </c>
    </row>
    <row r="21">
      <c r="A21" s="3" t="inlineStr">
        <is>
          <t>BASE CASE ASSUMPTIONS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12" t="inlineStr">
        <is>
          <t>Assumption</t>
        </is>
      </c>
      <c r="C22" s="12" t="inlineStr">
        <is>
          <t>FY26</t>
        </is>
      </c>
      <c r="D22" s="12" t="inlineStr">
        <is>
          <t>FY27</t>
        </is>
      </c>
      <c r="E22" s="12" t="inlineStr">
        <is>
          <t>FY28</t>
        </is>
      </c>
      <c r="F22" s="12" t="inlineStr">
        <is>
          <t>FY29</t>
        </is>
      </c>
      <c r="G22" s="12" t="inlineStr">
        <is>
          <t>FY30</t>
        </is>
      </c>
      <c r="H22" s="12" t="inlineStr">
        <is>
          <t>FY31</t>
        </is>
      </c>
      <c r="I22" s="12" t="inlineStr">
        <is>
          <t>FY32</t>
        </is>
      </c>
    </row>
    <row r="23">
      <c r="A23" s="8" t="inlineStr">
        <is>
          <t>Revenue growth (%)</t>
        </is>
      </c>
      <c r="C23" s="13" t="n">
        <v>6</v>
      </c>
      <c r="D23" s="13" t="n">
        <v>11</v>
      </c>
      <c r="E23" s="13" t="n">
        <v>2.845238095238095</v>
      </c>
      <c r="F23" s="13" t="n">
        <v>1.1671826625387</v>
      </c>
      <c r="G23" s="13" t="n">
        <v>0.7828571428571429</v>
      </c>
      <c r="H23" s="13" t="n">
        <v>0.5144230769230769</v>
      </c>
      <c r="I23" s="13" t="n">
        <v>0.4105820105820106</v>
      </c>
    </row>
    <row r="24">
      <c r="A24" s="8" t="inlineStr">
        <is>
          <t>EBIT margin (%)</t>
        </is>
      </c>
      <c r="C24" s="13" t="n">
        <v>-6</v>
      </c>
      <c r="D24" s="13" t="n">
        <v>-0.38</v>
      </c>
      <c r="E24" s="13" t="n">
        <v>0.26</v>
      </c>
      <c r="F24" s="13" t="n">
        <v>0.43</v>
      </c>
      <c r="G24" s="13" t="n">
        <v>0.51</v>
      </c>
      <c r="H24" s="13" t="n">
        <v>0.55</v>
      </c>
      <c r="I24" s="13" t="n">
        <v>0.57</v>
      </c>
    </row>
    <row r="25">
      <c r="A25" s="8" t="inlineStr">
        <is>
          <t>D&amp;A (% of revenue)</t>
        </is>
      </c>
      <c r="C25" s="13" t="n">
        <v>0.2857142857142858</v>
      </c>
      <c r="D25" s="13" t="n">
        <v>0.04761904761904762</v>
      </c>
      <c r="E25" s="13" t="n">
        <v>0.02476780185758514</v>
      </c>
      <c r="F25" s="13" t="n">
        <v>0.02</v>
      </c>
      <c r="G25" s="13" t="n">
        <v>0.01762820512820513</v>
      </c>
      <c r="H25" s="13" t="n">
        <v>0.01693121693121693</v>
      </c>
      <c r="I25" s="13" t="n">
        <v>0.01650412603150788</v>
      </c>
    </row>
    <row r="26">
      <c r="A26" s="8" t="inlineStr">
        <is>
          <t>CapEx (% of revenue)</t>
        </is>
      </c>
      <c r="C26" s="13" t="n">
        <v>0.5714285714285715</v>
      </c>
      <c r="D26" s="13" t="n">
        <v>0.07142857142857142</v>
      </c>
      <c r="E26" s="13" t="n">
        <v>0.03095975232198143</v>
      </c>
      <c r="F26" s="13" t="n">
        <v>0.02285714285714286</v>
      </c>
      <c r="G26" s="13" t="n">
        <v>0.01923076923076923</v>
      </c>
      <c r="H26" s="13" t="n">
        <v>0.01798941798941799</v>
      </c>
      <c r="I26" s="13" t="n">
        <v>0.0172543135783946</v>
      </c>
    </row>
    <row r="27">
      <c r="A27" s="8" t="inlineStr">
        <is>
          <t>NWC change (% of d-Rev)</t>
        </is>
      </c>
      <c r="C27" s="13" t="n">
        <v>0.1666666666666667</v>
      </c>
      <c r="D27" s="13" t="n">
        <v>0.1038961038961039</v>
      </c>
      <c r="E27" s="13" t="n">
        <v>0.100418410041841</v>
      </c>
      <c r="F27" s="13" t="n">
        <v>0.1326259946949602</v>
      </c>
      <c r="G27" s="13" t="n">
        <v>0.1642335766423358</v>
      </c>
      <c r="H27" s="13" t="n">
        <v>0.2024922118380062</v>
      </c>
      <c r="I27" s="13" t="n">
        <v>0.2319587628865979</v>
      </c>
    </row>
    <row r="29">
      <c r="A29" s="3" t="inlineStr">
        <is>
          <t>BULL CASE ASSUMPTIONS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>
      <c r="A30" s="12" t="inlineStr">
        <is>
          <t>Assumption</t>
        </is>
      </c>
      <c r="C30" s="12" t="inlineStr">
        <is>
          <t>FY26</t>
        </is>
      </c>
      <c r="D30" s="12" t="inlineStr">
        <is>
          <t>FY27</t>
        </is>
      </c>
      <c r="E30" s="12" t="inlineStr">
        <is>
          <t>FY28</t>
        </is>
      </c>
      <c r="F30" s="12" t="inlineStr">
        <is>
          <t>FY29</t>
        </is>
      </c>
      <c r="G30" s="12" t="inlineStr">
        <is>
          <t>FY30</t>
        </is>
      </c>
      <c r="H30" s="12" t="inlineStr">
        <is>
          <t>FY31</t>
        </is>
      </c>
      <c r="I30" s="12" t="inlineStr">
        <is>
          <t>FY32</t>
        </is>
      </c>
    </row>
    <row r="31">
      <c r="A31" s="8" t="inlineStr">
        <is>
          <t>Revenue growth (%)</t>
        </is>
      </c>
      <c r="C31" s="13" t="n">
        <v>12</v>
      </c>
      <c r="D31" s="13" t="n">
        <v>4</v>
      </c>
      <c r="E31" s="13" t="n">
        <v>1.5</v>
      </c>
      <c r="F31" s="13" t="n">
        <v>1</v>
      </c>
      <c r="G31" s="13" t="n">
        <v>0.65</v>
      </c>
      <c r="H31" s="13" t="n">
        <v>0.45</v>
      </c>
      <c r="I31" s="13" t="n">
        <v>0.35</v>
      </c>
    </row>
    <row r="32">
      <c r="A32" s="8" t="inlineStr">
        <is>
          <t>EBIT margin (%)</t>
        </is>
      </c>
      <c r="C32" s="13" t="n">
        <v>-3</v>
      </c>
      <c r="D32" s="13" t="n">
        <v>-0.03</v>
      </c>
      <c r="E32" s="13" t="n">
        <v>0.3</v>
      </c>
      <c r="F32" s="13" t="n">
        <v>0.42</v>
      </c>
      <c r="G32" s="13" t="n">
        <v>0.5</v>
      </c>
      <c r="H32" s="13" t="n">
        <v>0.55</v>
      </c>
      <c r="I32" s="13" t="n">
        <v>0.58</v>
      </c>
    </row>
    <row r="33">
      <c r="A33" s="8" t="inlineStr">
        <is>
          <t>D&amp;A (% of revenue)</t>
        </is>
      </c>
      <c r="C33" s="13" t="n">
        <v>0.02</v>
      </c>
      <c r="D33" s="13" t="n">
        <v>0.025</v>
      </c>
      <c r="E33" s="13" t="n">
        <v>0.025</v>
      </c>
      <c r="F33" s="13" t="n">
        <v>0.022</v>
      </c>
      <c r="G33" s="13" t="n">
        <v>0.02</v>
      </c>
      <c r="H33" s="13" t="n">
        <v>0.018</v>
      </c>
      <c r="I33" s="13" t="n">
        <v>0.016</v>
      </c>
    </row>
    <row r="34">
      <c r="A34" s="8" t="inlineStr">
        <is>
          <t>CapEx (% of revenue)</t>
        </is>
      </c>
      <c r="C34" s="13" t="n">
        <v>0.04</v>
      </c>
      <c r="D34" s="13" t="n">
        <v>0.035</v>
      </c>
      <c r="E34" s="13" t="n">
        <v>0.03</v>
      </c>
      <c r="F34" s="13" t="n">
        <v>0.025</v>
      </c>
      <c r="G34" s="13" t="n">
        <v>0.022</v>
      </c>
      <c r="H34" s="13" t="n">
        <v>0.02</v>
      </c>
      <c r="I34" s="13" t="n">
        <v>0.018</v>
      </c>
    </row>
    <row r="35">
      <c r="A35" s="8" t="inlineStr">
        <is>
          <t>NWC change (% of d-Rev)</t>
        </is>
      </c>
      <c r="C35" s="13" t="n">
        <v>0.06</v>
      </c>
      <c r="D35" s="13" t="n">
        <v>0.07000000000000001</v>
      </c>
      <c r="E35" s="13" t="n">
        <v>0.07000000000000001</v>
      </c>
      <c r="F35" s="13" t="n">
        <v>0.07000000000000001</v>
      </c>
      <c r="G35" s="13" t="n">
        <v>0.07000000000000001</v>
      </c>
      <c r="H35" s="13" t="n">
        <v>0.06</v>
      </c>
      <c r="I35" s="13" t="n">
        <v>0.06</v>
      </c>
    </row>
    <row r="37">
      <c r="A37" s="3" t="inlineStr">
        <is>
          <t>SELECTED SCENARIO (consolidation row from case selector)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>
      <c r="A38" s="12" t="inlineStr">
        <is>
          <t>Assumption</t>
        </is>
      </c>
      <c r="C38" s="12" t="inlineStr">
        <is>
          <t>FY26</t>
        </is>
      </c>
      <c r="D38" s="12" t="inlineStr">
        <is>
          <t>FY27</t>
        </is>
      </c>
      <c r="E38" s="12" t="inlineStr">
        <is>
          <t>FY28</t>
        </is>
      </c>
      <c r="F38" s="12" t="inlineStr">
        <is>
          <t>FY29</t>
        </is>
      </c>
      <c r="G38" s="12" t="inlineStr">
        <is>
          <t>FY30</t>
        </is>
      </c>
      <c r="H38" s="12" t="inlineStr">
        <is>
          <t>FY31</t>
        </is>
      </c>
      <c r="I38" s="12" t="inlineStr">
        <is>
          <t>FY32</t>
        </is>
      </c>
    </row>
    <row r="39">
      <c r="A39" s="8" t="inlineStr">
        <is>
          <t>Revenue growth (%)</t>
        </is>
      </c>
      <c r="C39" s="14">
        <f>CHOOSE($B$5,C15,C23,C31)</f>
        <v/>
      </c>
      <c r="D39" s="14">
        <f>CHOOSE($B$5,D15,D23,D31)</f>
        <v/>
      </c>
      <c r="E39" s="14">
        <f>CHOOSE($B$5,E15,E23,E31)</f>
        <v/>
      </c>
      <c r="F39" s="14">
        <f>CHOOSE($B$5,F15,F23,F31)</f>
        <v/>
      </c>
      <c r="G39" s="14">
        <f>CHOOSE($B$5,G15,G23,G31)</f>
        <v/>
      </c>
      <c r="H39" s="14">
        <f>CHOOSE($B$5,H15,H23,H31)</f>
        <v/>
      </c>
      <c r="I39" s="14">
        <f>CHOOSE($B$5,I15,I23,I31)</f>
        <v/>
      </c>
    </row>
    <row r="40">
      <c r="A40" s="8" t="inlineStr">
        <is>
          <t>EBIT margin (%)</t>
        </is>
      </c>
      <c r="C40" s="14">
        <f>CHOOSE($B$5,C16,C24,C32)</f>
        <v/>
      </c>
      <c r="D40" s="14">
        <f>CHOOSE($B$5,D16,D24,D32)</f>
        <v/>
      </c>
      <c r="E40" s="14">
        <f>CHOOSE($B$5,E16,E24,E32)</f>
        <v/>
      </c>
      <c r="F40" s="14">
        <f>CHOOSE($B$5,F16,F24,F32)</f>
        <v/>
      </c>
      <c r="G40" s="14">
        <f>CHOOSE($B$5,G16,G24,G32)</f>
        <v/>
      </c>
      <c r="H40" s="14">
        <f>CHOOSE($B$5,H16,H24,H32)</f>
        <v/>
      </c>
      <c r="I40" s="14">
        <f>CHOOSE($B$5,I16,I24,I32)</f>
        <v/>
      </c>
    </row>
    <row r="41">
      <c r="A41" s="8" t="inlineStr">
        <is>
          <t>D&amp;A (% of revenue)</t>
        </is>
      </c>
      <c r="C41" s="14">
        <f>CHOOSE($B$5,C17,C25,C33)</f>
        <v/>
      </c>
      <c r="D41" s="14">
        <f>CHOOSE($B$5,D17,D25,D33)</f>
        <v/>
      </c>
      <c r="E41" s="14">
        <f>CHOOSE($B$5,E17,E25,E33)</f>
        <v/>
      </c>
      <c r="F41" s="14">
        <f>CHOOSE($B$5,F17,F25,F33)</f>
        <v/>
      </c>
      <c r="G41" s="14">
        <f>CHOOSE($B$5,G17,G25,G33)</f>
        <v/>
      </c>
      <c r="H41" s="14">
        <f>CHOOSE($B$5,H17,H25,H33)</f>
        <v/>
      </c>
      <c r="I41" s="14">
        <f>CHOOSE($B$5,I17,I25,I33)</f>
        <v/>
      </c>
    </row>
    <row r="42">
      <c r="A42" s="8" t="inlineStr">
        <is>
          <t>CapEx (% of revenue)</t>
        </is>
      </c>
      <c r="C42" s="14">
        <f>CHOOSE($B$5,C18,C26,C34)</f>
        <v/>
      </c>
      <c r="D42" s="14">
        <f>CHOOSE($B$5,D18,D26,D34)</f>
        <v/>
      </c>
      <c r="E42" s="14">
        <f>CHOOSE($B$5,E18,E26,E34)</f>
        <v/>
      </c>
      <c r="F42" s="14">
        <f>CHOOSE($B$5,F18,F26,F34)</f>
        <v/>
      </c>
      <c r="G42" s="14">
        <f>CHOOSE($B$5,G18,G26,G34)</f>
        <v/>
      </c>
      <c r="H42" s="14">
        <f>CHOOSE($B$5,H18,H26,H34)</f>
        <v/>
      </c>
      <c r="I42" s="14">
        <f>CHOOSE($B$5,I18,I26,I34)</f>
        <v/>
      </c>
    </row>
    <row r="43">
      <c r="A43" s="8" t="inlineStr">
        <is>
          <t>NWC change (% of d-Rev)</t>
        </is>
      </c>
      <c r="C43" s="14">
        <f>CHOOSE($B$5,C19,C27,C35)</f>
        <v/>
      </c>
      <c r="D43" s="14">
        <f>CHOOSE($B$5,D19,D27,D35)</f>
        <v/>
      </c>
      <c r="E43" s="14">
        <f>CHOOSE($B$5,E19,E27,E35)</f>
        <v/>
      </c>
      <c r="F43" s="14">
        <f>CHOOSE($B$5,F19,F27,F35)</f>
        <v/>
      </c>
      <c r="G43" s="14">
        <f>CHOOSE($B$5,G19,G27,G35)</f>
        <v/>
      </c>
      <c r="H43" s="14">
        <f>CHOOSE($B$5,H19,H27,H35)</f>
        <v/>
      </c>
      <c r="I43" s="14">
        <f>CHOOSE($B$5,I19,I27,I35)</f>
        <v/>
      </c>
    </row>
    <row r="45">
      <c r="A45" s="3" t="inlineStr">
        <is>
          <t>GLOBAL ASSUMPTIONS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>
      <c r="A46" s="8" t="inlineStr">
        <is>
          <t>Tax rate</t>
        </is>
      </c>
      <c r="B46" s="13" t="n">
        <v>0.21</v>
      </c>
    </row>
    <row r="47">
      <c r="A47" s="8" t="inlineStr">
        <is>
          <t>Terminal growth rate (Bear/Base/Bull)</t>
        </is>
      </c>
      <c r="B47" s="13" t="n">
        <v>0.02</v>
      </c>
      <c r="C47" s="13" t="n">
        <v>0.03</v>
      </c>
      <c r="D47" s="13" t="n">
        <v>0.035</v>
      </c>
      <c r="E47" s="8" t="inlineStr">
        <is>
          <t>Selected:</t>
        </is>
      </c>
      <c r="F47" s="14">
        <f>CHOOSE($B$5,B47,C47,D47)</f>
        <v/>
      </c>
    </row>
    <row r="48">
      <c r="A48" s="8" t="inlineStr">
        <is>
          <t>WACC (Bear/Base/Bull)</t>
        </is>
      </c>
      <c r="B48" s="13" t="n">
        <v>0.14</v>
      </c>
      <c r="C48" s="15">
        <f>WACC!B23</f>
        <v/>
      </c>
      <c r="D48" s="13" t="n">
        <v>0.105</v>
      </c>
      <c r="E48" s="8" t="inlineStr">
        <is>
          <t>Selected:</t>
        </is>
      </c>
      <c r="F48" s="14">
        <f>CHOOSE($B$5,B48,C48,D48)</f>
        <v/>
      </c>
    </row>
    <row r="50">
      <c r="A50" s="3" t="inlineStr">
        <is>
          <t>FREE CASH FLOW PROJECTION ($M)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>
      <c r="A51" s="12" t="inlineStr">
        <is>
          <t>Item</t>
        </is>
      </c>
      <c r="C51" s="12" t="inlineStr">
        <is>
          <t>FY26</t>
        </is>
      </c>
      <c r="D51" s="12" t="inlineStr">
        <is>
          <t>FY27</t>
        </is>
      </c>
      <c r="E51" s="12" t="inlineStr">
        <is>
          <t>FY28</t>
        </is>
      </c>
      <c r="F51" s="12" t="inlineStr">
        <is>
          <t>FY29</t>
        </is>
      </c>
      <c r="G51" s="12" t="inlineStr">
        <is>
          <t>FY30</t>
        </is>
      </c>
      <c r="H51" s="12" t="inlineStr">
        <is>
          <t>FY31</t>
        </is>
      </c>
      <c r="I51" s="12" t="inlineStr">
        <is>
          <t>FY32</t>
        </is>
      </c>
    </row>
    <row r="52">
      <c r="A52" s="8" t="inlineStr">
        <is>
          <t>FY25 starting revenue ($M)</t>
        </is>
      </c>
      <c r="B52" s="16" t="n">
        <v>0.05</v>
      </c>
    </row>
    <row r="53">
      <c r="A53" s="5" t="inlineStr">
        <is>
          <t>Revenue ($M)</t>
        </is>
      </c>
      <c r="C53" s="17">
        <f>$B$52*(1+C39)</f>
        <v/>
      </c>
      <c r="D53" s="17">
        <f>C53*(1+D39)</f>
        <v/>
      </c>
      <c r="E53" s="17">
        <f>D53*(1+E39)</f>
        <v/>
      </c>
      <c r="F53" s="17">
        <f>E53*(1+F39)</f>
        <v/>
      </c>
      <c r="G53" s="17">
        <f>F53*(1+G39)</f>
        <v/>
      </c>
      <c r="H53" s="17">
        <f>G53*(1+H39)</f>
        <v/>
      </c>
      <c r="I53" s="17">
        <f>H53*(1+I39)</f>
        <v/>
      </c>
    </row>
    <row r="54">
      <c r="A54" s="8" t="inlineStr">
        <is>
          <t>EBIT ($M)</t>
        </is>
      </c>
      <c r="C54" s="17">
        <f>C53*C40</f>
        <v/>
      </c>
      <c r="D54" s="17">
        <f>D53*D40</f>
        <v/>
      </c>
      <c r="E54" s="17">
        <f>E53*E40</f>
        <v/>
      </c>
      <c r="F54" s="17">
        <f>F53*F40</f>
        <v/>
      </c>
      <c r="G54" s="17">
        <f>G53*G40</f>
        <v/>
      </c>
      <c r="H54" s="17">
        <f>H53*H40</f>
        <v/>
      </c>
      <c r="I54" s="17">
        <f>I53*I40</f>
        <v/>
      </c>
    </row>
    <row r="55">
      <c r="A55" s="8" t="inlineStr">
        <is>
          <t>Taxes ($M)</t>
        </is>
      </c>
      <c r="C55" s="17">
        <f>MAX(0,C54*$B$46)</f>
        <v/>
      </c>
      <c r="D55" s="17">
        <f>MAX(0,D54*$B$46)</f>
        <v/>
      </c>
      <c r="E55" s="17">
        <f>MAX(0,E54*$B$46)</f>
        <v/>
      </c>
      <c r="F55" s="17">
        <f>MAX(0,F54*$B$46)</f>
        <v/>
      </c>
      <c r="G55" s="17">
        <f>MAX(0,G54*$B$46)</f>
        <v/>
      </c>
      <c r="H55" s="17">
        <f>MAX(0,H54*$B$46)</f>
        <v/>
      </c>
      <c r="I55" s="17">
        <f>MAX(0,I54*$B$46)</f>
        <v/>
      </c>
    </row>
    <row r="56">
      <c r="A56" s="8" t="inlineStr">
        <is>
          <t>NOPAT ($M)</t>
        </is>
      </c>
      <c r="C56" s="17">
        <f>C54-C55</f>
        <v/>
      </c>
      <c r="D56" s="17">
        <f>D54-D55</f>
        <v/>
      </c>
      <c r="E56" s="17">
        <f>E54-E55</f>
        <v/>
      </c>
      <c r="F56" s="17">
        <f>F54-F55</f>
        <v/>
      </c>
      <c r="G56" s="17">
        <f>G54-G55</f>
        <v/>
      </c>
      <c r="H56" s="17">
        <f>H54-H55</f>
        <v/>
      </c>
      <c r="I56" s="17">
        <f>I54-I55</f>
        <v/>
      </c>
    </row>
    <row r="57">
      <c r="A57" s="8" t="inlineStr">
        <is>
          <t>(+) D&amp;A ($M)</t>
        </is>
      </c>
      <c r="C57" s="17">
        <f>C53*C41</f>
        <v/>
      </c>
      <c r="D57" s="17">
        <f>D53*D41</f>
        <v/>
      </c>
      <c r="E57" s="17">
        <f>E53*E41</f>
        <v/>
      </c>
      <c r="F57" s="17">
        <f>F53*F41</f>
        <v/>
      </c>
      <c r="G57" s="17">
        <f>G53*G41</f>
        <v/>
      </c>
      <c r="H57" s="17">
        <f>H53*H41</f>
        <v/>
      </c>
      <c r="I57" s="17">
        <f>I53*I41</f>
        <v/>
      </c>
    </row>
    <row r="58">
      <c r="A58" s="8" t="inlineStr">
        <is>
          <t>(-) CapEx ($M)</t>
        </is>
      </c>
      <c r="C58" s="17">
        <f>C53*C42</f>
        <v/>
      </c>
      <c r="D58" s="17">
        <f>D53*D42</f>
        <v/>
      </c>
      <c r="E58" s="17">
        <f>E53*E42</f>
        <v/>
      </c>
      <c r="F58" s="17">
        <f>F53*F42</f>
        <v/>
      </c>
      <c r="G58" s="17">
        <f>G53*G42</f>
        <v/>
      </c>
      <c r="H58" s="17">
        <f>H53*H42</f>
        <v/>
      </c>
      <c r="I58" s="17">
        <f>I53*I42</f>
        <v/>
      </c>
    </row>
    <row r="59">
      <c r="A59" s="8" t="inlineStr">
        <is>
          <t>(-) Change in NWC ($M)</t>
        </is>
      </c>
      <c r="C59" s="17">
        <f>(C53-$B$52)*C43</f>
        <v/>
      </c>
      <c r="D59" s="17">
        <f>(D53-C53)*D43</f>
        <v/>
      </c>
      <c r="E59" s="17">
        <f>(E53-D53)*E43</f>
        <v/>
      </c>
      <c r="F59" s="17">
        <f>(F53-E53)*F43</f>
        <v/>
      </c>
      <c r="G59" s="17">
        <f>(G53-F53)*G43</f>
        <v/>
      </c>
      <c r="H59" s="17">
        <f>(H53-G53)*H43</f>
        <v/>
      </c>
      <c r="I59" s="17">
        <f>(I53-H53)*I43</f>
        <v/>
      </c>
    </row>
    <row r="60">
      <c r="A60" s="5" t="inlineStr">
        <is>
          <t>Unlevered FCF ($M)</t>
        </is>
      </c>
      <c r="C60" s="18">
        <f>C56+C57-C58-C59</f>
        <v/>
      </c>
      <c r="D60" s="18">
        <f>D56+D57-D58-D59</f>
        <v/>
      </c>
      <c r="E60" s="18">
        <f>E56+E57-E58-E59</f>
        <v/>
      </c>
      <c r="F60" s="18">
        <f>F56+F57-F58-F59</f>
        <v/>
      </c>
      <c r="G60" s="18">
        <f>G56+G57-G58-G59</f>
        <v/>
      </c>
      <c r="H60" s="18">
        <f>H56+H57-H58-H59</f>
        <v/>
      </c>
      <c r="I60" s="18">
        <f>I56+I57-I58-I59</f>
        <v/>
      </c>
    </row>
    <row r="61">
      <c r="A61" s="8" t="inlineStr">
        <is>
          <t>Discount period (years)</t>
        </is>
      </c>
      <c r="C61" s="19" t="n">
        <v>0.5</v>
      </c>
      <c r="D61" s="19" t="n">
        <v>1.5</v>
      </c>
      <c r="E61" s="19" t="n">
        <v>2.5</v>
      </c>
      <c r="F61" s="19" t="n">
        <v>3.5</v>
      </c>
      <c r="G61" s="19" t="n">
        <v>4.5</v>
      </c>
      <c r="H61" s="19" t="n">
        <v>5.5</v>
      </c>
      <c r="I61" s="19" t="n">
        <v>6.5</v>
      </c>
    </row>
    <row r="62">
      <c r="A62" s="8" t="inlineStr">
        <is>
          <t>Discount factor</t>
        </is>
      </c>
      <c r="C62" s="20">
        <f>1/(1+$F$48)^C61</f>
        <v/>
      </c>
      <c r="D62" s="20">
        <f>1/(1+$F$48)^D61</f>
        <v/>
      </c>
      <c r="E62" s="20">
        <f>1/(1+$F$48)^E61</f>
        <v/>
      </c>
      <c r="F62" s="20">
        <f>1/(1+$F$48)^F61</f>
        <v/>
      </c>
      <c r="G62" s="20">
        <f>1/(1+$F$48)^G61</f>
        <v/>
      </c>
      <c r="H62" s="20">
        <f>1/(1+$F$48)^H61</f>
        <v/>
      </c>
      <c r="I62" s="20">
        <f>1/(1+$F$48)^I61</f>
        <v/>
      </c>
    </row>
    <row r="63">
      <c r="A63" s="5" t="inlineStr">
        <is>
          <t>PV of FCF ($M)</t>
        </is>
      </c>
      <c r="C63" s="17">
        <f>C60*C62</f>
        <v/>
      </c>
      <c r="D63" s="17">
        <f>D60*D62</f>
        <v/>
      </c>
      <c r="E63" s="17">
        <f>E60*E62</f>
        <v/>
      </c>
      <c r="F63" s="17">
        <f>F60*F62</f>
        <v/>
      </c>
      <c r="G63" s="17">
        <f>G60*G62</f>
        <v/>
      </c>
      <c r="H63" s="17">
        <f>H60*H62</f>
        <v/>
      </c>
      <c r="I63" s="17">
        <f>I60*I62</f>
        <v/>
      </c>
    </row>
    <row r="65">
      <c r="A65" s="3" t="inlineStr">
        <is>
          <t>TERMINAL VALUE</t>
        </is>
      </c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</row>
    <row r="66">
      <c r="A66" s="8" t="inlineStr">
        <is>
          <t>Final-year FCF ($M)</t>
        </is>
      </c>
      <c r="B66" s="17">
        <f>I60</f>
        <v/>
      </c>
    </row>
    <row r="67">
      <c r="A67" s="8" t="inlineStr">
        <is>
          <t>Terminal growth rate</t>
        </is>
      </c>
      <c r="B67" s="14">
        <f>$F$47</f>
        <v/>
      </c>
    </row>
    <row r="68">
      <c r="A68" s="8" t="inlineStr">
        <is>
          <t>WACC</t>
        </is>
      </c>
      <c r="B68" s="14">
        <f>$F$48</f>
        <v/>
      </c>
    </row>
    <row r="69">
      <c r="A69" s="8" t="inlineStr">
        <is>
          <t>Terminal FCF (year +1)</t>
        </is>
      </c>
      <c r="B69" s="17">
        <f>B66*(1+B67)</f>
        <v/>
      </c>
    </row>
    <row r="70">
      <c r="A70" s="8" t="inlineStr">
        <is>
          <t>Terminal value (Gordon)</t>
        </is>
      </c>
      <c r="B70" s="17">
        <f>B69/(B68-B67)</f>
        <v/>
      </c>
    </row>
    <row r="71">
      <c r="A71" s="8" t="inlineStr">
        <is>
          <t>Final-year discount factor</t>
        </is>
      </c>
      <c r="B71" s="20">
        <f>I62</f>
        <v/>
      </c>
    </row>
    <row r="72">
      <c r="A72" s="5" t="inlineStr">
        <is>
          <t>PV of terminal value ($M)</t>
        </is>
      </c>
      <c r="B72" s="17">
        <f>B70*B71</f>
        <v/>
      </c>
    </row>
    <row r="74">
      <c r="A74" s="3" t="inlineStr">
        <is>
          <t>VALUATION SUMMARY ($M)</t>
        </is>
      </c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</row>
    <row r="75">
      <c r="A75" s="8" t="inlineStr">
        <is>
          <t>Sum of PV FCFs</t>
        </is>
      </c>
      <c r="B75" s="17">
        <f>SUM(C63:I63)</f>
        <v/>
      </c>
    </row>
    <row r="76">
      <c r="A76" s="8" t="inlineStr">
        <is>
          <t>PV of terminal value</t>
        </is>
      </c>
      <c r="B76" s="17">
        <f>B72</f>
        <v/>
      </c>
    </row>
    <row r="77">
      <c r="A77" s="5" t="inlineStr">
        <is>
          <t>Enterprise value</t>
        </is>
      </c>
      <c r="B77" s="17">
        <f>B75+B76</f>
        <v/>
      </c>
    </row>
    <row r="78">
      <c r="A78" s="8" t="inlineStr">
        <is>
          <t>(-) Net debt</t>
        </is>
      </c>
      <c r="B78" s="17">
        <f>$B$11</f>
        <v/>
      </c>
    </row>
    <row r="79">
      <c r="A79" s="5" t="inlineStr">
        <is>
          <t>Equity value (intrinsic)</t>
        </is>
      </c>
      <c r="B79" s="21">
        <f>B77-B78</f>
        <v/>
      </c>
    </row>
    <row r="81">
      <c r="A81" s="8" t="inlineStr">
        <is>
          <t>Implied vs proposed post-money</t>
        </is>
      </c>
    </row>
    <row r="82">
      <c r="A82" s="8" t="inlineStr">
        <is>
          <t>Proposed post-money ($M)</t>
        </is>
      </c>
      <c r="B82" s="22">
        <f>$B$9</f>
        <v/>
      </c>
    </row>
    <row r="83">
      <c r="A83" s="8" t="inlineStr">
        <is>
          <t>DCF intrinsic / proposed (margin of safety)</t>
        </is>
      </c>
      <c r="B83" s="14">
        <f>B79/B82-1</f>
        <v/>
      </c>
    </row>
    <row r="84">
      <c r="A84" s="8" t="inlineStr">
        <is>
          <t>Terminal value as % of EV</t>
        </is>
      </c>
      <c r="B84" s="14">
        <f>B76/B77</f>
        <v/>
      </c>
    </row>
    <row r="88">
      <c r="A88" s="3" t="inlineStr">
        <is>
          <t>SENSITIVITY 1: WACC vs TERMINAL GROWTH (Equity Value $M)</t>
        </is>
      </c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</row>
    <row r="89">
      <c r="A89" s="23" t="inlineStr">
        <is>
          <t>WACC \ Terminal g</t>
        </is>
      </c>
      <c r="B89" s="24" t="n">
        <v>0.02</v>
      </c>
      <c r="C89" s="24" t="n">
        <v>0.025</v>
      </c>
      <c r="D89" s="24" t="n">
        <v>0.03</v>
      </c>
      <c r="E89" s="24" t="n">
        <v>0.035</v>
      </c>
      <c r="F89" s="24" t="n">
        <v>0.04</v>
      </c>
    </row>
    <row r="90">
      <c r="A90" s="24" t="n">
        <v>0.101</v>
      </c>
      <c r="B90" s="22">
        <f>(C60/(1+$A90)^0.5+D60/(1+$A90)^1.5+E60/(1+$A90)^2.5+F60/(1+$A90)^3.5+G60/(1+$A90)^4.5+H60/(1+$A90)^5.5+I60/(1+$A90)^6.5)+(I60*(1+B$89))/($A90-B$89)/(1+$A90)^6.5-$B$11</f>
        <v/>
      </c>
      <c r="C90" s="22">
        <f>(C60/(1+$A90)^0.5+D60/(1+$A90)^1.5+E60/(1+$A90)^2.5+F60/(1+$A90)^3.5+G60/(1+$A90)^4.5+H60/(1+$A90)^5.5+I60/(1+$A90)^6.5)+(I60*(1+C$89))/($A90-C$89)/(1+$A90)^6.5-$B$11</f>
        <v/>
      </c>
      <c r="D90" s="22">
        <f>(C60/(1+$A90)^0.5+D60/(1+$A90)^1.5+E60/(1+$A90)^2.5+F60/(1+$A90)^3.5+G60/(1+$A90)^4.5+H60/(1+$A90)^5.5+I60/(1+$A90)^6.5)+(I60*(1+D$89))/($A90-D$89)/(1+$A90)^6.5-$B$11</f>
        <v/>
      </c>
      <c r="E90" s="22">
        <f>(C60/(1+$A90)^0.5+D60/(1+$A90)^1.5+E60/(1+$A90)^2.5+F60/(1+$A90)^3.5+G60/(1+$A90)^4.5+H60/(1+$A90)^5.5+I60/(1+$A90)^6.5)+(I60*(1+E$89))/($A90-E$89)/(1+$A90)^6.5-$B$11</f>
        <v/>
      </c>
      <c r="F90" s="22">
        <f>(C60/(1+$A90)^0.5+D60/(1+$A90)^1.5+E60/(1+$A90)^2.5+F60/(1+$A90)^3.5+G60/(1+$A90)^4.5+H60/(1+$A90)^5.5+I60/(1+$A90)^6.5)+(I60*(1+F$89))/($A90-F$89)/(1+$A90)^6.5-$B$11</f>
        <v/>
      </c>
    </row>
    <row r="91">
      <c r="A91" s="24" t="n">
        <v>0.111</v>
      </c>
      <c r="B91" s="22">
        <f>(C60/(1+$A91)^0.5+D60/(1+$A91)^1.5+E60/(1+$A91)^2.5+F60/(1+$A91)^3.5+G60/(1+$A91)^4.5+H60/(1+$A91)^5.5+I60/(1+$A91)^6.5)+(I60*(1+B$89))/($A91-B$89)/(1+$A91)^6.5-$B$11</f>
        <v/>
      </c>
      <c r="C91" s="22">
        <f>(C60/(1+$A91)^0.5+D60/(1+$A91)^1.5+E60/(1+$A91)^2.5+F60/(1+$A91)^3.5+G60/(1+$A91)^4.5+H60/(1+$A91)^5.5+I60/(1+$A91)^6.5)+(I60*(1+C$89))/($A91-C$89)/(1+$A91)^6.5-$B$11</f>
        <v/>
      </c>
      <c r="D91" s="22">
        <f>(C60/(1+$A91)^0.5+D60/(1+$A91)^1.5+E60/(1+$A91)^2.5+F60/(1+$A91)^3.5+G60/(1+$A91)^4.5+H60/(1+$A91)^5.5+I60/(1+$A91)^6.5)+(I60*(1+D$89))/($A91-D$89)/(1+$A91)^6.5-$B$11</f>
        <v/>
      </c>
      <c r="E91" s="22">
        <f>(C60/(1+$A91)^0.5+D60/(1+$A91)^1.5+E60/(1+$A91)^2.5+F60/(1+$A91)^3.5+G60/(1+$A91)^4.5+H60/(1+$A91)^5.5+I60/(1+$A91)^6.5)+(I60*(1+E$89))/($A91-E$89)/(1+$A91)^6.5-$B$11</f>
        <v/>
      </c>
      <c r="F91" s="22">
        <f>(C60/(1+$A91)^0.5+D60/(1+$A91)^1.5+E60/(1+$A91)^2.5+F60/(1+$A91)^3.5+G60/(1+$A91)^4.5+H60/(1+$A91)^5.5+I60/(1+$A91)^6.5)+(I60*(1+F$89))/($A91-F$89)/(1+$A91)^6.5-$B$11</f>
        <v/>
      </c>
    </row>
    <row r="92">
      <c r="A92" s="24" t="n">
        <v>0.121</v>
      </c>
      <c r="B92" s="22">
        <f>(C60/(1+$A92)^0.5+D60/(1+$A92)^1.5+E60/(1+$A92)^2.5+F60/(1+$A92)^3.5+G60/(1+$A92)^4.5+H60/(1+$A92)^5.5+I60/(1+$A92)^6.5)+(I60*(1+B$89))/($A92-B$89)/(1+$A92)^6.5-$B$11</f>
        <v/>
      </c>
      <c r="C92" s="22">
        <f>(C60/(1+$A92)^0.5+D60/(1+$A92)^1.5+E60/(1+$A92)^2.5+F60/(1+$A92)^3.5+G60/(1+$A92)^4.5+H60/(1+$A92)^5.5+I60/(1+$A92)^6.5)+(I60*(1+C$89))/($A92-C$89)/(1+$A92)^6.5-$B$11</f>
        <v/>
      </c>
      <c r="D92" s="25">
        <f>(C60/(1+$A92)^0.5+D60/(1+$A92)^1.5+E60/(1+$A92)^2.5+F60/(1+$A92)^3.5+G60/(1+$A92)^4.5+H60/(1+$A92)^5.5+I60/(1+$A92)^6.5)+(I60*(1+D$89))/($A92-D$89)/(1+$A92)^6.5-$B$11</f>
        <v/>
      </c>
      <c r="E92" s="22">
        <f>(C60/(1+$A92)^0.5+D60/(1+$A92)^1.5+E60/(1+$A92)^2.5+F60/(1+$A92)^3.5+G60/(1+$A92)^4.5+H60/(1+$A92)^5.5+I60/(1+$A92)^6.5)+(I60*(1+E$89))/($A92-E$89)/(1+$A92)^6.5-$B$11</f>
        <v/>
      </c>
      <c r="F92" s="22">
        <f>(C60/(1+$A92)^0.5+D60/(1+$A92)^1.5+E60/(1+$A92)^2.5+F60/(1+$A92)^3.5+G60/(1+$A92)^4.5+H60/(1+$A92)^5.5+I60/(1+$A92)^6.5)+(I60*(1+F$89))/($A92-F$89)/(1+$A92)^6.5-$B$11</f>
        <v/>
      </c>
    </row>
    <row r="93">
      <c r="A93" s="24" t="n">
        <v>0.131</v>
      </c>
      <c r="B93" s="22">
        <f>(C60/(1+$A93)^0.5+D60/(1+$A93)^1.5+E60/(1+$A93)^2.5+F60/(1+$A93)^3.5+G60/(1+$A93)^4.5+H60/(1+$A93)^5.5+I60/(1+$A93)^6.5)+(I60*(1+B$89))/($A93-B$89)/(1+$A93)^6.5-$B$11</f>
        <v/>
      </c>
      <c r="C93" s="22">
        <f>(C60/(1+$A93)^0.5+D60/(1+$A93)^1.5+E60/(1+$A93)^2.5+F60/(1+$A93)^3.5+G60/(1+$A93)^4.5+H60/(1+$A93)^5.5+I60/(1+$A93)^6.5)+(I60*(1+C$89))/($A93-C$89)/(1+$A93)^6.5-$B$11</f>
        <v/>
      </c>
      <c r="D93" s="22">
        <f>(C60/(1+$A93)^0.5+D60/(1+$A93)^1.5+E60/(1+$A93)^2.5+F60/(1+$A93)^3.5+G60/(1+$A93)^4.5+H60/(1+$A93)^5.5+I60/(1+$A93)^6.5)+(I60*(1+D$89))/($A93-D$89)/(1+$A93)^6.5-$B$11</f>
        <v/>
      </c>
      <c r="E93" s="22">
        <f>(C60/(1+$A93)^0.5+D60/(1+$A93)^1.5+E60/(1+$A93)^2.5+F60/(1+$A93)^3.5+G60/(1+$A93)^4.5+H60/(1+$A93)^5.5+I60/(1+$A93)^6.5)+(I60*(1+E$89))/($A93-E$89)/(1+$A93)^6.5-$B$11</f>
        <v/>
      </c>
      <c r="F93" s="22">
        <f>(C60/(1+$A93)^0.5+D60/(1+$A93)^1.5+E60/(1+$A93)^2.5+F60/(1+$A93)^3.5+G60/(1+$A93)^4.5+H60/(1+$A93)^5.5+I60/(1+$A93)^6.5)+(I60*(1+F$89))/($A93-F$89)/(1+$A93)^6.5-$B$11</f>
        <v/>
      </c>
    </row>
    <row r="94">
      <c r="A94" s="24" t="n">
        <v>0.141</v>
      </c>
      <c r="B94" s="22">
        <f>(C60/(1+$A94)^0.5+D60/(1+$A94)^1.5+E60/(1+$A94)^2.5+F60/(1+$A94)^3.5+G60/(1+$A94)^4.5+H60/(1+$A94)^5.5+I60/(1+$A94)^6.5)+(I60*(1+B$89))/($A94-B$89)/(1+$A94)^6.5-$B$11</f>
        <v/>
      </c>
      <c r="C94" s="22">
        <f>(C60/(1+$A94)^0.5+D60/(1+$A94)^1.5+E60/(1+$A94)^2.5+F60/(1+$A94)^3.5+G60/(1+$A94)^4.5+H60/(1+$A94)^5.5+I60/(1+$A94)^6.5)+(I60*(1+C$89))/($A94-C$89)/(1+$A94)^6.5-$B$11</f>
        <v/>
      </c>
      <c r="D94" s="22">
        <f>(C60/(1+$A94)^0.5+D60/(1+$A94)^1.5+E60/(1+$A94)^2.5+F60/(1+$A94)^3.5+G60/(1+$A94)^4.5+H60/(1+$A94)^5.5+I60/(1+$A94)^6.5)+(I60*(1+D$89))/($A94-D$89)/(1+$A94)^6.5-$B$11</f>
        <v/>
      </c>
      <c r="E94" s="22">
        <f>(C60/(1+$A94)^0.5+D60/(1+$A94)^1.5+E60/(1+$A94)^2.5+F60/(1+$A94)^3.5+G60/(1+$A94)^4.5+H60/(1+$A94)^5.5+I60/(1+$A94)^6.5)+(I60*(1+E$89))/($A94-E$89)/(1+$A94)^6.5-$B$11</f>
        <v/>
      </c>
      <c r="F94" s="22">
        <f>(C60/(1+$A94)^0.5+D60/(1+$A94)^1.5+E60/(1+$A94)^2.5+F60/(1+$A94)^3.5+G60/(1+$A94)^4.5+H60/(1+$A94)^5.5+I60/(1+$A94)^6.5)+(I60*(1+F$89))/($A94-F$89)/(1+$A94)^6.5-$B$11</f>
        <v/>
      </c>
    </row>
    <row r="100">
      <c r="A100" s="3" t="inlineStr">
        <is>
          <t>SENSITIVITY 2: AVG REVENUE GROWTH vs TERMINAL EBIT MARGIN (Equity Value $M)</t>
        </is>
      </c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</row>
    <row r="101">
      <c r="A101" s="23" t="inlineStr">
        <is>
          <t>Avg growth \ Term margin</t>
        </is>
      </c>
      <c r="B101" s="24" t="n">
        <v>0.2</v>
      </c>
      <c r="C101" s="24" t="n">
        <v>0.3</v>
      </c>
      <c r="D101" s="24" t="n">
        <v>0.4</v>
      </c>
      <c r="E101" s="24" t="n">
        <v>0.5</v>
      </c>
      <c r="F101" s="24" t="n">
        <v>0.6</v>
      </c>
    </row>
    <row r="102">
      <c r="A102" s="24" t="n">
        <v>0.5</v>
      </c>
      <c r="B102" s="22">
        <f>(((($B$52*(1+$A102)^1)*((-3+($A102*0+B$101+3)*0.14285714285714285)))-(MAX(0,(($B$52*(1+$A102)^1)*((-3+($A102*0+B$101+3)*0.14285714285714285)))*$B$46))+($B$52*(1+$A102)^1)*0.025-($B$52*(1+$A102)^1)*0.030-(($B$52*(1+$A102)^1-$B$52))*0.07)/(1+0.121)^0.5+((($B$52*(1+$A102)^2)*((-3+($A102*0+B$101+3)*0.2857142857142857)))-(MAX(0,(($B$52*(1+$A102)^2)*((-3+($A102*0+B$101+3)*0.2857142857142857)))*$B$46))+($B$52*(1+$A102)^2)*0.025-($B$52*(1+$A102)^2)*0.030-(($B$52*(1+$A102)^2-$B$52*(1+$A102)^1))*0.07)/(1+0.121)^1.5+((($B$52*(1+$A102)^3)*((-3+($A102*0+B$101+3)*0.42857142857142855)))-(MAX(0,(($B$52*(1+$A102)^3)*((-3+($A102*0+B$101+3)*0.42857142857142855)))*$B$46))+($B$52*(1+$A102)^3)*0.025-($B$52*(1+$A102)^3)*0.030-(($B$52*(1+$A102)^3-$B$52*(1+$A102)^2))*0.07)/(1+0.121)^2.5+((($B$52*(1+$A102)^4)*((-3+($A102*0+B$101+3)*0.5714285714285714)))-(MAX(0,(($B$52*(1+$A102)^4)*((-3+($A102*0+B$101+3)*0.5714285714285714)))*$B$46))+($B$52*(1+$A102)^4)*0.025-($B$52*(1+$A102)^4)*0.030-(($B$52*(1+$A102)^4-$B$52*(1+$A102)^3))*0.07)/(1+0.121)^3.5+((($B$52*(1+$A102)^5)*((-3+($A102*0+B$101+3)*0.7142857142857143)))-(MAX(0,(($B$52*(1+$A102)^5)*((-3+($A102*0+B$101+3)*0.7142857142857143)))*$B$46))+($B$52*(1+$A102)^5)*0.025-($B$52*(1+$A102)^5)*0.030-(($B$52*(1+$A102)^5-$B$52*(1+$A102)^4))*0.07)/(1+0.121)^4.5+((($B$52*(1+$A102)^6)*((-3+($A102*0+B$101+3)*0.8571428571428571)))-(MAX(0,(($B$52*(1+$A102)^6)*((-3+($A102*0+B$101+3)*0.8571428571428571)))*$B$46))+($B$52*(1+$A102)^6)*0.025-($B$52*(1+$A102)^6)*0.030-(($B$52*(1+$A102)^6-$B$52*(1+$A102)^5))*0.07)/(1+0.121)^5.5+((($B$52*(1+$A102)^7)*((-3+($A102*0+B$101+3)*1.0)))-(MAX(0,(($B$52*(1+$A102)^7)*((-3+($A102*0+B$101+3)*1.0)))*$B$46))+($B$52*(1+$A102)^7)*0.025-($B$52*(1+$A102)^7)*0.030-(($B$52*(1+$A102)^7-$B$52*(1+$A102)^6))*0.07)/(1+0.121)^6.5)+(($B$52*(1+$A102)^7*((-3+($A102*0+B$101+3)*1)*(1-$B$46)+0.025-0.030-0.07*$A102/(1+$A102)))*1.03/(0.121-0.03))/(1+0.121)^6.5</f>
        <v/>
      </c>
      <c r="C102" s="22">
        <f>(((($B$52*(1+$A102)^1)*((-3+($A102*0+C$101+3)*0.14285714285714285)))-(MAX(0,(($B$52*(1+$A102)^1)*((-3+($A102*0+C$101+3)*0.14285714285714285)))*$B$46))+($B$52*(1+$A102)^1)*0.025-($B$52*(1+$A102)^1)*0.030-(($B$52*(1+$A102)^1-$B$52))*0.07)/(1+0.121)^0.5+((($B$52*(1+$A102)^2)*((-3+($A102*0+C$101+3)*0.2857142857142857)))-(MAX(0,(($B$52*(1+$A102)^2)*((-3+($A102*0+C$101+3)*0.2857142857142857)))*$B$46))+($B$52*(1+$A102)^2)*0.025-($B$52*(1+$A102)^2)*0.030-(($B$52*(1+$A102)^2-$B$52*(1+$A102)^1))*0.07)/(1+0.121)^1.5+((($B$52*(1+$A102)^3)*((-3+($A102*0+C$101+3)*0.42857142857142855)))-(MAX(0,(($B$52*(1+$A102)^3)*((-3+($A102*0+C$101+3)*0.42857142857142855)))*$B$46))+($B$52*(1+$A102)^3)*0.025-($B$52*(1+$A102)^3)*0.030-(($B$52*(1+$A102)^3-$B$52*(1+$A102)^2))*0.07)/(1+0.121)^2.5+((($B$52*(1+$A102)^4)*((-3+($A102*0+C$101+3)*0.5714285714285714)))-(MAX(0,(($B$52*(1+$A102)^4)*((-3+($A102*0+C$101+3)*0.5714285714285714)))*$B$46))+($B$52*(1+$A102)^4)*0.025-($B$52*(1+$A102)^4)*0.030-(($B$52*(1+$A102)^4-$B$52*(1+$A102)^3))*0.07)/(1+0.121)^3.5+((($B$52*(1+$A102)^5)*((-3+($A102*0+C$101+3)*0.7142857142857143)))-(MAX(0,(($B$52*(1+$A102)^5)*((-3+($A102*0+C$101+3)*0.7142857142857143)))*$B$46))+($B$52*(1+$A102)^5)*0.025-($B$52*(1+$A102)^5)*0.030-(($B$52*(1+$A102)^5-$B$52*(1+$A102)^4))*0.07)/(1+0.121)^4.5+((($B$52*(1+$A102)^6)*((-3+($A102*0+C$101+3)*0.8571428571428571)))-(MAX(0,(($B$52*(1+$A102)^6)*((-3+($A102*0+C$101+3)*0.8571428571428571)))*$B$46))+($B$52*(1+$A102)^6)*0.025-($B$52*(1+$A102)^6)*0.030-(($B$52*(1+$A102)^6-$B$52*(1+$A102)^5))*0.07)/(1+0.121)^5.5+((($B$52*(1+$A102)^7)*((-3+($A102*0+C$101+3)*1.0)))-(MAX(0,(($B$52*(1+$A102)^7)*((-3+($A102*0+C$101+3)*1.0)))*$B$46))+($B$52*(1+$A102)^7)*0.025-($B$52*(1+$A102)^7)*0.030-(($B$52*(1+$A102)^7-$B$52*(1+$A102)^6))*0.07)/(1+0.121)^6.5)+(($B$52*(1+$A102)^7*((-3+($A102*0+C$101+3)*1)*(1-$B$46)+0.025-0.030-0.07*$A102/(1+$A102)))*1.03/(0.121-0.03))/(1+0.121)^6.5</f>
        <v/>
      </c>
      <c r="D102" s="22">
        <f>(((($B$52*(1+$A102)^1)*((-3+($A102*0+D$101+3)*0.14285714285714285)))-(MAX(0,(($B$52*(1+$A102)^1)*((-3+($A102*0+D$101+3)*0.14285714285714285)))*$B$46))+($B$52*(1+$A102)^1)*0.025-($B$52*(1+$A102)^1)*0.030-(($B$52*(1+$A102)^1-$B$52))*0.07)/(1+0.121)^0.5+((($B$52*(1+$A102)^2)*((-3+($A102*0+D$101+3)*0.2857142857142857)))-(MAX(0,(($B$52*(1+$A102)^2)*((-3+($A102*0+D$101+3)*0.2857142857142857)))*$B$46))+($B$52*(1+$A102)^2)*0.025-($B$52*(1+$A102)^2)*0.030-(($B$52*(1+$A102)^2-$B$52*(1+$A102)^1))*0.07)/(1+0.121)^1.5+((($B$52*(1+$A102)^3)*((-3+($A102*0+D$101+3)*0.42857142857142855)))-(MAX(0,(($B$52*(1+$A102)^3)*((-3+($A102*0+D$101+3)*0.42857142857142855)))*$B$46))+($B$52*(1+$A102)^3)*0.025-($B$52*(1+$A102)^3)*0.030-(($B$52*(1+$A102)^3-$B$52*(1+$A102)^2))*0.07)/(1+0.121)^2.5+((($B$52*(1+$A102)^4)*((-3+($A102*0+D$101+3)*0.5714285714285714)))-(MAX(0,(($B$52*(1+$A102)^4)*((-3+($A102*0+D$101+3)*0.5714285714285714)))*$B$46))+($B$52*(1+$A102)^4)*0.025-($B$52*(1+$A102)^4)*0.030-(($B$52*(1+$A102)^4-$B$52*(1+$A102)^3))*0.07)/(1+0.121)^3.5+((($B$52*(1+$A102)^5)*((-3+($A102*0+D$101+3)*0.7142857142857143)))-(MAX(0,(($B$52*(1+$A102)^5)*((-3+($A102*0+D$101+3)*0.7142857142857143)))*$B$46))+($B$52*(1+$A102)^5)*0.025-($B$52*(1+$A102)^5)*0.030-(($B$52*(1+$A102)^5-$B$52*(1+$A102)^4))*0.07)/(1+0.121)^4.5+((($B$52*(1+$A102)^6)*((-3+($A102*0+D$101+3)*0.8571428571428571)))-(MAX(0,(($B$52*(1+$A102)^6)*((-3+($A102*0+D$101+3)*0.8571428571428571)))*$B$46))+($B$52*(1+$A102)^6)*0.025-($B$52*(1+$A102)^6)*0.030-(($B$52*(1+$A102)^6-$B$52*(1+$A102)^5))*0.07)/(1+0.121)^5.5+((($B$52*(1+$A102)^7)*((-3+($A102*0+D$101+3)*1.0)))-(MAX(0,(($B$52*(1+$A102)^7)*((-3+($A102*0+D$101+3)*1.0)))*$B$46))+($B$52*(1+$A102)^7)*0.025-($B$52*(1+$A102)^7)*0.030-(($B$52*(1+$A102)^7-$B$52*(1+$A102)^6))*0.07)/(1+0.121)^6.5)+(($B$52*(1+$A102)^7*((-3+($A102*0+D$101+3)*1)*(1-$B$46)+0.025-0.030-0.07*$A102/(1+$A102)))*1.03/(0.121-0.03))/(1+0.121)^6.5</f>
        <v/>
      </c>
      <c r="E102" s="22">
        <f>(((($B$52*(1+$A102)^1)*((-3+($A102*0+E$101+3)*0.14285714285714285)))-(MAX(0,(($B$52*(1+$A102)^1)*((-3+($A102*0+E$101+3)*0.14285714285714285)))*$B$46))+($B$52*(1+$A102)^1)*0.025-($B$52*(1+$A102)^1)*0.030-(($B$52*(1+$A102)^1-$B$52))*0.07)/(1+0.121)^0.5+((($B$52*(1+$A102)^2)*((-3+($A102*0+E$101+3)*0.2857142857142857)))-(MAX(0,(($B$52*(1+$A102)^2)*((-3+($A102*0+E$101+3)*0.2857142857142857)))*$B$46))+($B$52*(1+$A102)^2)*0.025-($B$52*(1+$A102)^2)*0.030-(($B$52*(1+$A102)^2-$B$52*(1+$A102)^1))*0.07)/(1+0.121)^1.5+((($B$52*(1+$A102)^3)*((-3+($A102*0+E$101+3)*0.42857142857142855)))-(MAX(0,(($B$52*(1+$A102)^3)*((-3+($A102*0+E$101+3)*0.42857142857142855)))*$B$46))+($B$52*(1+$A102)^3)*0.025-($B$52*(1+$A102)^3)*0.030-(($B$52*(1+$A102)^3-$B$52*(1+$A102)^2))*0.07)/(1+0.121)^2.5+((($B$52*(1+$A102)^4)*((-3+($A102*0+E$101+3)*0.5714285714285714)))-(MAX(0,(($B$52*(1+$A102)^4)*((-3+($A102*0+E$101+3)*0.5714285714285714)))*$B$46))+($B$52*(1+$A102)^4)*0.025-($B$52*(1+$A102)^4)*0.030-(($B$52*(1+$A102)^4-$B$52*(1+$A102)^3))*0.07)/(1+0.121)^3.5+((($B$52*(1+$A102)^5)*((-3+($A102*0+E$101+3)*0.7142857142857143)))-(MAX(0,(($B$52*(1+$A102)^5)*((-3+($A102*0+E$101+3)*0.7142857142857143)))*$B$46))+($B$52*(1+$A102)^5)*0.025-($B$52*(1+$A102)^5)*0.030-(($B$52*(1+$A102)^5-$B$52*(1+$A102)^4))*0.07)/(1+0.121)^4.5+((($B$52*(1+$A102)^6)*((-3+($A102*0+E$101+3)*0.8571428571428571)))-(MAX(0,(($B$52*(1+$A102)^6)*((-3+($A102*0+E$101+3)*0.8571428571428571)))*$B$46))+($B$52*(1+$A102)^6)*0.025-($B$52*(1+$A102)^6)*0.030-(($B$52*(1+$A102)^6-$B$52*(1+$A102)^5))*0.07)/(1+0.121)^5.5+((($B$52*(1+$A102)^7)*((-3+($A102*0+E$101+3)*1.0)))-(MAX(0,(($B$52*(1+$A102)^7)*((-3+($A102*0+E$101+3)*1.0)))*$B$46))+($B$52*(1+$A102)^7)*0.025-($B$52*(1+$A102)^7)*0.030-(($B$52*(1+$A102)^7-$B$52*(1+$A102)^6))*0.07)/(1+0.121)^6.5)+(($B$52*(1+$A102)^7*((-3+($A102*0+E$101+3)*1)*(1-$B$46)+0.025-0.030-0.07*$A102/(1+$A102)))*1.03/(0.121-0.03))/(1+0.121)^6.5</f>
        <v/>
      </c>
      <c r="F102" s="22">
        <f>(((($B$52*(1+$A102)^1)*((-3+($A102*0+F$101+3)*0.14285714285714285)))-(MAX(0,(($B$52*(1+$A102)^1)*((-3+($A102*0+F$101+3)*0.14285714285714285)))*$B$46))+($B$52*(1+$A102)^1)*0.025-($B$52*(1+$A102)^1)*0.030-(($B$52*(1+$A102)^1-$B$52))*0.07)/(1+0.121)^0.5+((($B$52*(1+$A102)^2)*((-3+($A102*0+F$101+3)*0.2857142857142857)))-(MAX(0,(($B$52*(1+$A102)^2)*((-3+($A102*0+F$101+3)*0.2857142857142857)))*$B$46))+($B$52*(1+$A102)^2)*0.025-($B$52*(1+$A102)^2)*0.030-(($B$52*(1+$A102)^2-$B$52*(1+$A102)^1))*0.07)/(1+0.121)^1.5+((($B$52*(1+$A102)^3)*((-3+($A102*0+F$101+3)*0.42857142857142855)))-(MAX(0,(($B$52*(1+$A102)^3)*((-3+($A102*0+F$101+3)*0.42857142857142855)))*$B$46))+($B$52*(1+$A102)^3)*0.025-($B$52*(1+$A102)^3)*0.030-(($B$52*(1+$A102)^3-$B$52*(1+$A102)^2))*0.07)/(1+0.121)^2.5+((($B$52*(1+$A102)^4)*((-3+($A102*0+F$101+3)*0.5714285714285714)))-(MAX(0,(($B$52*(1+$A102)^4)*((-3+($A102*0+F$101+3)*0.5714285714285714)))*$B$46))+($B$52*(1+$A102)^4)*0.025-($B$52*(1+$A102)^4)*0.030-(($B$52*(1+$A102)^4-$B$52*(1+$A102)^3))*0.07)/(1+0.121)^3.5+((($B$52*(1+$A102)^5)*((-3+($A102*0+F$101+3)*0.7142857142857143)))-(MAX(0,(($B$52*(1+$A102)^5)*((-3+($A102*0+F$101+3)*0.7142857142857143)))*$B$46))+($B$52*(1+$A102)^5)*0.025-($B$52*(1+$A102)^5)*0.030-(($B$52*(1+$A102)^5-$B$52*(1+$A102)^4))*0.07)/(1+0.121)^4.5+((($B$52*(1+$A102)^6)*((-3+($A102*0+F$101+3)*0.8571428571428571)))-(MAX(0,(($B$52*(1+$A102)^6)*((-3+($A102*0+F$101+3)*0.8571428571428571)))*$B$46))+($B$52*(1+$A102)^6)*0.025-($B$52*(1+$A102)^6)*0.030-(($B$52*(1+$A102)^6-$B$52*(1+$A102)^5))*0.07)/(1+0.121)^5.5+((($B$52*(1+$A102)^7)*((-3+($A102*0+F$101+3)*1.0)))-(MAX(0,(($B$52*(1+$A102)^7)*((-3+($A102*0+F$101+3)*1.0)))*$B$46))+($B$52*(1+$A102)^7)*0.025-($B$52*(1+$A102)^7)*0.030-(($B$52*(1+$A102)^7-$B$52*(1+$A102)^6))*0.07)/(1+0.121)^6.5)+(($B$52*(1+$A102)^7*((-3+($A102*0+F$101+3)*1)*(1-$B$46)+0.025-0.030-0.07*$A102/(1+$A102)))*1.03/(0.121-0.03))/(1+0.121)^6.5</f>
        <v/>
      </c>
    </row>
    <row r="103">
      <c r="A103" s="24" t="n">
        <v>0.75</v>
      </c>
      <c r="B103" s="22">
        <f>(((($B$52*(1+$A103)^1)*((-3+($A103*0+B$101+3)*0.14285714285714285)))-(MAX(0,(($B$52*(1+$A103)^1)*((-3+($A103*0+B$101+3)*0.14285714285714285)))*$B$46))+($B$52*(1+$A103)^1)*0.025-($B$52*(1+$A103)^1)*0.030-(($B$52*(1+$A103)^1-$B$52))*0.07)/(1+0.121)^0.5+((($B$52*(1+$A103)^2)*((-3+($A103*0+B$101+3)*0.2857142857142857)))-(MAX(0,(($B$52*(1+$A103)^2)*((-3+($A103*0+B$101+3)*0.2857142857142857)))*$B$46))+($B$52*(1+$A103)^2)*0.025-($B$52*(1+$A103)^2)*0.030-(($B$52*(1+$A103)^2-$B$52*(1+$A103)^1))*0.07)/(1+0.121)^1.5+((($B$52*(1+$A103)^3)*((-3+($A103*0+B$101+3)*0.42857142857142855)))-(MAX(0,(($B$52*(1+$A103)^3)*((-3+($A103*0+B$101+3)*0.42857142857142855)))*$B$46))+($B$52*(1+$A103)^3)*0.025-($B$52*(1+$A103)^3)*0.030-(($B$52*(1+$A103)^3-$B$52*(1+$A103)^2))*0.07)/(1+0.121)^2.5+((($B$52*(1+$A103)^4)*((-3+($A103*0+B$101+3)*0.5714285714285714)))-(MAX(0,(($B$52*(1+$A103)^4)*((-3+($A103*0+B$101+3)*0.5714285714285714)))*$B$46))+($B$52*(1+$A103)^4)*0.025-($B$52*(1+$A103)^4)*0.030-(($B$52*(1+$A103)^4-$B$52*(1+$A103)^3))*0.07)/(1+0.121)^3.5+((($B$52*(1+$A103)^5)*((-3+($A103*0+B$101+3)*0.7142857142857143)))-(MAX(0,(($B$52*(1+$A103)^5)*((-3+($A103*0+B$101+3)*0.7142857142857143)))*$B$46))+($B$52*(1+$A103)^5)*0.025-($B$52*(1+$A103)^5)*0.030-(($B$52*(1+$A103)^5-$B$52*(1+$A103)^4))*0.07)/(1+0.121)^4.5+((($B$52*(1+$A103)^6)*((-3+($A103*0+B$101+3)*0.8571428571428571)))-(MAX(0,(($B$52*(1+$A103)^6)*((-3+($A103*0+B$101+3)*0.8571428571428571)))*$B$46))+($B$52*(1+$A103)^6)*0.025-($B$52*(1+$A103)^6)*0.030-(($B$52*(1+$A103)^6-$B$52*(1+$A103)^5))*0.07)/(1+0.121)^5.5+((($B$52*(1+$A103)^7)*((-3+($A103*0+B$101+3)*1.0)))-(MAX(0,(($B$52*(1+$A103)^7)*((-3+($A103*0+B$101+3)*1.0)))*$B$46))+($B$52*(1+$A103)^7)*0.025-($B$52*(1+$A103)^7)*0.030-(($B$52*(1+$A103)^7-$B$52*(1+$A103)^6))*0.07)/(1+0.121)^6.5)+(($B$52*(1+$A103)^7*((-3+($A103*0+B$101+3)*1)*(1-$B$46)+0.025-0.030-0.07*$A103/(1+$A103)))*1.03/(0.121-0.03))/(1+0.121)^6.5</f>
        <v/>
      </c>
      <c r="C103" s="22">
        <f>(((($B$52*(1+$A103)^1)*((-3+($A103*0+C$101+3)*0.14285714285714285)))-(MAX(0,(($B$52*(1+$A103)^1)*((-3+($A103*0+C$101+3)*0.14285714285714285)))*$B$46))+($B$52*(1+$A103)^1)*0.025-($B$52*(1+$A103)^1)*0.030-(($B$52*(1+$A103)^1-$B$52))*0.07)/(1+0.121)^0.5+((($B$52*(1+$A103)^2)*((-3+($A103*0+C$101+3)*0.2857142857142857)))-(MAX(0,(($B$52*(1+$A103)^2)*((-3+($A103*0+C$101+3)*0.2857142857142857)))*$B$46))+($B$52*(1+$A103)^2)*0.025-($B$52*(1+$A103)^2)*0.030-(($B$52*(1+$A103)^2-$B$52*(1+$A103)^1))*0.07)/(1+0.121)^1.5+((($B$52*(1+$A103)^3)*((-3+($A103*0+C$101+3)*0.42857142857142855)))-(MAX(0,(($B$52*(1+$A103)^3)*((-3+($A103*0+C$101+3)*0.42857142857142855)))*$B$46))+($B$52*(1+$A103)^3)*0.025-($B$52*(1+$A103)^3)*0.030-(($B$52*(1+$A103)^3-$B$52*(1+$A103)^2))*0.07)/(1+0.121)^2.5+((($B$52*(1+$A103)^4)*((-3+($A103*0+C$101+3)*0.5714285714285714)))-(MAX(0,(($B$52*(1+$A103)^4)*((-3+($A103*0+C$101+3)*0.5714285714285714)))*$B$46))+($B$52*(1+$A103)^4)*0.025-($B$52*(1+$A103)^4)*0.030-(($B$52*(1+$A103)^4-$B$52*(1+$A103)^3))*0.07)/(1+0.121)^3.5+((($B$52*(1+$A103)^5)*((-3+($A103*0+C$101+3)*0.7142857142857143)))-(MAX(0,(($B$52*(1+$A103)^5)*((-3+($A103*0+C$101+3)*0.7142857142857143)))*$B$46))+($B$52*(1+$A103)^5)*0.025-($B$52*(1+$A103)^5)*0.030-(($B$52*(1+$A103)^5-$B$52*(1+$A103)^4))*0.07)/(1+0.121)^4.5+((($B$52*(1+$A103)^6)*((-3+($A103*0+C$101+3)*0.8571428571428571)))-(MAX(0,(($B$52*(1+$A103)^6)*((-3+($A103*0+C$101+3)*0.8571428571428571)))*$B$46))+($B$52*(1+$A103)^6)*0.025-($B$52*(1+$A103)^6)*0.030-(($B$52*(1+$A103)^6-$B$52*(1+$A103)^5))*0.07)/(1+0.121)^5.5+((($B$52*(1+$A103)^7)*((-3+($A103*0+C$101+3)*1.0)))-(MAX(0,(($B$52*(1+$A103)^7)*((-3+($A103*0+C$101+3)*1.0)))*$B$46))+($B$52*(1+$A103)^7)*0.025-($B$52*(1+$A103)^7)*0.030-(($B$52*(1+$A103)^7-$B$52*(1+$A103)^6))*0.07)/(1+0.121)^6.5)+(($B$52*(1+$A103)^7*((-3+($A103*0+C$101+3)*1)*(1-$B$46)+0.025-0.030-0.07*$A103/(1+$A103)))*1.03/(0.121-0.03))/(1+0.121)^6.5</f>
        <v/>
      </c>
      <c r="D103" s="22">
        <f>(((($B$52*(1+$A103)^1)*((-3+($A103*0+D$101+3)*0.14285714285714285)))-(MAX(0,(($B$52*(1+$A103)^1)*((-3+($A103*0+D$101+3)*0.14285714285714285)))*$B$46))+($B$52*(1+$A103)^1)*0.025-($B$52*(1+$A103)^1)*0.030-(($B$52*(1+$A103)^1-$B$52))*0.07)/(1+0.121)^0.5+((($B$52*(1+$A103)^2)*((-3+($A103*0+D$101+3)*0.2857142857142857)))-(MAX(0,(($B$52*(1+$A103)^2)*((-3+($A103*0+D$101+3)*0.2857142857142857)))*$B$46))+($B$52*(1+$A103)^2)*0.025-($B$52*(1+$A103)^2)*0.030-(($B$52*(1+$A103)^2-$B$52*(1+$A103)^1))*0.07)/(1+0.121)^1.5+((($B$52*(1+$A103)^3)*((-3+($A103*0+D$101+3)*0.42857142857142855)))-(MAX(0,(($B$52*(1+$A103)^3)*((-3+($A103*0+D$101+3)*0.42857142857142855)))*$B$46))+($B$52*(1+$A103)^3)*0.025-($B$52*(1+$A103)^3)*0.030-(($B$52*(1+$A103)^3-$B$52*(1+$A103)^2))*0.07)/(1+0.121)^2.5+((($B$52*(1+$A103)^4)*((-3+($A103*0+D$101+3)*0.5714285714285714)))-(MAX(0,(($B$52*(1+$A103)^4)*((-3+($A103*0+D$101+3)*0.5714285714285714)))*$B$46))+($B$52*(1+$A103)^4)*0.025-($B$52*(1+$A103)^4)*0.030-(($B$52*(1+$A103)^4-$B$52*(1+$A103)^3))*0.07)/(1+0.121)^3.5+((($B$52*(1+$A103)^5)*((-3+($A103*0+D$101+3)*0.7142857142857143)))-(MAX(0,(($B$52*(1+$A103)^5)*((-3+($A103*0+D$101+3)*0.7142857142857143)))*$B$46))+($B$52*(1+$A103)^5)*0.025-($B$52*(1+$A103)^5)*0.030-(($B$52*(1+$A103)^5-$B$52*(1+$A103)^4))*0.07)/(1+0.121)^4.5+((($B$52*(1+$A103)^6)*((-3+($A103*0+D$101+3)*0.8571428571428571)))-(MAX(0,(($B$52*(1+$A103)^6)*((-3+($A103*0+D$101+3)*0.8571428571428571)))*$B$46))+($B$52*(1+$A103)^6)*0.025-($B$52*(1+$A103)^6)*0.030-(($B$52*(1+$A103)^6-$B$52*(1+$A103)^5))*0.07)/(1+0.121)^5.5+((($B$52*(1+$A103)^7)*((-3+($A103*0+D$101+3)*1.0)))-(MAX(0,(($B$52*(1+$A103)^7)*((-3+($A103*0+D$101+3)*1.0)))*$B$46))+($B$52*(1+$A103)^7)*0.025-($B$52*(1+$A103)^7)*0.030-(($B$52*(1+$A103)^7-$B$52*(1+$A103)^6))*0.07)/(1+0.121)^6.5)+(($B$52*(1+$A103)^7*((-3+($A103*0+D$101+3)*1)*(1-$B$46)+0.025-0.030-0.07*$A103/(1+$A103)))*1.03/(0.121-0.03))/(1+0.121)^6.5</f>
        <v/>
      </c>
      <c r="E103" s="22">
        <f>(((($B$52*(1+$A103)^1)*((-3+($A103*0+E$101+3)*0.14285714285714285)))-(MAX(0,(($B$52*(1+$A103)^1)*((-3+($A103*0+E$101+3)*0.14285714285714285)))*$B$46))+($B$52*(1+$A103)^1)*0.025-($B$52*(1+$A103)^1)*0.030-(($B$52*(1+$A103)^1-$B$52))*0.07)/(1+0.121)^0.5+((($B$52*(1+$A103)^2)*((-3+($A103*0+E$101+3)*0.2857142857142857)))-(MAX(0,(($B$52*(1+$A103)^2)*((-3+($A103*0+E$101+3)*0.2857142857142857)))*$B$46))+($B$52*(1+$A103)^2)*0.025-($B$52*(1+$A103)^2)*0.030-(($B$52*(1+$A103)^2-$B$52*(1+$A103)^1))*0.07)/(1+0.121)^1.5+((($B$52*(1+$A103)^3)*((-3+($A103*0+E$101+3)*0.42857142857142855)))-(MAX(0,(($B$52*(1+$A103)^3)*((-3+($A103*0+E$101+3)*0.42857142857142855)))*$B$46))+($B$52*(1+$A103)^3)*0.025-($B$52*(1+$A103)^3)*0.030-(($B$52*(1+$A103)^3-$B$52*(1+$A103)^2))*0.07)/(1+0.121)^2.5+((($B$52*(1+$A103)^4)*((-3+($A103*0+E$101+3)*0.5714285714285714)))-(MAX(0,(($B$52*(1+$A103)^4)*((-3+($A103*0+E$101+3)*0.5714285714285714)))*$B$46))+($B$52*(1+$A103)^4)*0.025-($B$52*(1+$A103)^4)*0.030-(($B$52*(1+$A103)^4-$B$52*(1+$A103)^3))*0.07)/(1+0.121)^3.5+((($B$52*(1+$A103)^5)*((-3+($A103*0+E$101+3)*0.7142857142857143)))-(MAX(0,(($B$52*(1+$A103)^5)*((-3+($A103*0+E$101+3)*0.7142857142857143)))*$B$46))+($B$52*(1+$A103)^5)*0.025-($B$52*(1+$A103)^5)*0.030-(($B$52*(1+$A103)^5-$B$52*(1+$A103)^4))*0.07)/(1+0.121)^4.5+((($B$52*(1+$A103)^6)*((-3+($A103*0+E$101+3)*0.8571428571428571)))-(MAX(0,(($B$52*(1+$A103)^6)*((-3+($A103*0+E$101+3)*0.8571428571428571)))*$B$46))+($B$52*(1+$A103)^6)*0.025-($B$52*(1+$A103)^6)*0.030-(($B$52*(1+$A103)^6-$B$52*(1+$A103)^5))*0.07)/(1+0.121)^5.5+((($B$52*(1+$A103)^7)*((-3+($A103*0+E$101+3)*1.0)))-(MAX(0,(($B$52*(1+$A103)^7)*((-3+($A103*0+E$101+3)*1.0)))*$B$46))+($B$52*(1+$A103)^7)*0.025-($B$52*(1+$A103)^7)*0.030-(($B$52*(1+$A103)^7-$B$52*(1+$A103)^6))*0.07)/(1+0.121)^6.5)+(($B$52*(1+$A103)^7*((-3+($A103*0+E$101+3)*1)*(1-$B$46)+0.025-0.030-0.07*$A103/(1+$A103)))*1.03/(0.121-0.03))/(1+0.121)^6.5</f>
        <v/>
      </c>
      <c r="F103" s="22">
        <f>(((($B$52*(1+$A103)^1)*((-3+($A103*0+F$101+3)*0.14285714285714285)))-(MAX(0,(($B$52*(1+$A103)^1)*((-3+($A103*0+F$101+3)*0.14285714285714285)))*$B$46))+($B$52*(1+$A103)^1)*0.025-($B$52*(1+$A103)^1)*0.030-(($B$52*(1+$A103)^1-$B$52))*0.07)/(1+0.121)^0.5+((($B$52*(1+$A103)^2)*((-3+($A103*0+F$101+3)*0.2857142857142857)))-(MAX(0,(($B$52*(1+$A103)^2)*((-3+($A103*0+F$101+3)*0.2857142857142857)))*$B$46))+($B$52*(1+$A103)^2)*0.025-($B$52*(1+$A103)^2)*0.030-(($B$52*(1+$A103)^2-$B$52*(1+$A103)^1))*0.07)/(1+0.121)^1.5+((($B$52*(1+$A103)^3)*((-3+($A103*0+F$101+3)*0.42857142857142855)))-(MAX(0,(($B$52*(1+$A103)^3)*((-3+($A103*0+F$101+3)*0.42857142857142855)))*$B$46))+($B$52*(1+$A103)^3)*0.025-($B$52*(1+$A103)^3)*0.030-(($B$52*(1+$A103)^3-$B$52*(1+$A103)^2))*0.07)/(1+0.121)^2.5+((($B$52*(1+$A103)^4)*((-3+($A103*0+F$101+3)*0.5714285714285714)))-(MAX(0,(($B$52*(1+$A103)^4)*((-3+($A103*0+F$101+3)*0.5714285714285714)))*$B$46))+($B$52*(1+$A103)^4)*0.025-($B$52*(1+$A103)^4)*0.030-(($B$52*(1+$A103)^4-$B$52*(1+$A103)^3))*0.07)/(1+0.121)^3.5+((($B$52*(1+$A103)^5)*((-3+($A103*0+F$101+3)*0.7142857142857143)))-(MAX(0,(($B$52*(1+$A103)^5)*((-3+($A103*0+F$101+3)*0.7142857142857143)))*$B$46))+($B$52*(1+$A103)^5)*0.025-($B$52*(1+$A103)^5)*0.030-(($B$52*(1+$A103)^5-$B$52*(1+$A103)^4))*0.07)/(1+0.121)^4.5+((($B$52*(1+$A103)^6)*((-3+($A103*0+F$101+3)*0.8571428571428571)))-(MAX(0,(($B$52*(1+$A103)^6)*((-3+($A103*0+F$101+3)*0.8571428571428571)))*$B$46))+($B$52*(1+$A103)^6)*0.025-($B$52*(1+$A103)^6)*0.030-(($B$52*(1+$A103)^6-$B$52*(1+$A103)^5))*0.07)/(1+0.121)^5.5+((($B$52*(1+$A103)^7)*((-3+($A103*0+F$101+3)*1.0)))-(MAX(0,(($B$52*(1+$A103)^7)*((-3+($A103*0+F$101+3)*1.0)))*$B$46))+($B$52*(1+$A103)^7)*0.025-($B$52*(1+$A103)^7)*0.030-(($B$52*(1+$A103)^7-$B$52*(1+$A103)^6))*0.07)/(1+0.121)^6.5)+(($B$52*(1+$A103)^7*((-3+($A103*0+F$101+3)*1)*(1-$B$46)+0.025-0.030-0.07*$A103/(1+$A103)))*1.03/(0.121-0.03))/(1+0.121)^6.5</f>
        <v/>
      </c>
    </row>
    <row r="104">
      <c r="A104" s="24" t="n">
        <v>1</v>
      </c>
      <c r="B104" s="22">
        <f>(((($B$52*(1+$A104)^1)*((-3+($A104*0+B$101+3)*0.14285714285714285)))-(MAX(0,(($B$52*(1+$A104)^1)*((-3+($A104*0+B$101+3)*0.14285714285714285)))*$B$46))+($B$52*(1+$A104)^1)*0.025-($B$52*(1+$A104)^1)*0.030-(($B$52*(1+$A104)^1-$B$52))*0.07)/(1+0.121)^0.5+((($B$52*(1+$A104)^2)*((-3+($A104*0+B$101+3)*0.2857142857142857)))-(MAX(0,(($B$52*(1+$A104)^2)*((-3+($A104*0+B$101+3)*0.2857142857142857)))*$B$46))+($B$52*(1+$A104)^2)*0.025-($B$52*(1+$A104)^2)*0.030-(($B$52*(1+$A104)^2-$B$52*(1+$A104)^1))*0.07)/(1+0.121)^1.5+((($B$52*(1+$A104)^3)*((-3+($A104*0+B$101+3)*0.42857142857142855)))-(MAX(0,(($B$52*(1+$A104)^3)*((-3+($A104*0+B$101+3)*0.42857142857142855)))*$B$46))+($B$52*(1+$A104)^3)*0.025-($B$52*(1+$A104)^3)*0.030-(($B$52*(1+$A104)^3-$B$52*(1+$A104)^2))*0.07)/(1+0.121)^2.5+((($B$52*(1+$A104)^4)*((-3+($A104*0+B$101+3)*0.5714285714285714)))-(MAX(0,(($B$52*(1+$A104)^4)*((-3+($A104*0+B$101+3)*0.5714285714285714)))*$B$46))+($B$52*(1+$A104)^4)*0.025-($B$52*(1+$A104)^4)*0.030-(($B$52*(1+$A104)^4-$B$52*(1+$A104)^3))*0.07)/(1+0.121)^3.5+((($B$52*(1+$A104)^5)*((-3+($A104*0+B$101+3)*0.7142857142857143)))-(MAX(0,(($B$52*(1+$A104)^5)*((-3+($A104*0+B$101+3)*0.7142857142857143)))*$B$46))+($B$52*(1+$A104)^5)*0.025-($B$52*(1+$A104)^5)*0.030-(($B$52*(1+$A104)^5-$B$52*(1+$A104)^4))*0.07)/(1+0.121)^4.5+((($B$52*(1+$A104)^6)*((-3+($A104*0+B$101+3)*0.8571428571428571)))-(MAX(0,(($B$52*(1+$A104)^6)*((-3+($A104*0+B$101+3)*0.8571428571428571)))*$B$46))+($B$52*(1+$A104)^6)*0.025-($B$52*(1+$A104)^6)*0.030-(($B$52*(1+$A104)^6-$B$52*(1+$A104)^5))*0.07)/(1+0.121)^5.5+((($B$52*(1+$A104)^7)*((-3+($A104*0+B$101+3)*1.0)))-(MAX(0,(($B$52*(1+$A104)^7)*((-3+($A104*0+B$101+3)*1.0)))*$B$46))+($B$52*(1+$A104)^7)*0.025-($B$52*(1+$A104)^7)*0.030-(($B$52*(1+$A104)^7-$B$52*(1+$A104)^6))*0.07)/(1+0.121)^6.5)+(($B$52*(1+$A104)^7*((-3+($A104*0+B$101+3)*1)*(1-$B$46)+0.025-0.030-0.07*$A104/(1+$A104)))*1.03/(0.121-0.03))/(1+0.121)^6.5</f>
        <v/>
      </c>
      <c r="C104" s="22">
        <f>(((($B$52*(1+$A104)^1)*((-3+($A104*0+C$101+3)*0.14285714285714285)))-(MAX(0,(($B$52*(1+$A104)^1)*((-3+($A104*0+C$101+3)*0.14285714285714285)))*$B$46))+($B$52*(1+$A104)^1)*0.025-($B$52*(1+$A104)^1)*0.030-(($B$52*(1+$A104)^1-$B$52))*0.07)/(1+0.121)^0.5+((($B$52*(1+$A104)^2)*((-3+($A104*0+C$101+3)*0.2857142857142857)))-(MAX(0,(($B$52*(1+$A104)^2)*((-3+($A104*0+C$101+3)*0.2857142857142857)))*$B$46))+($B$52*(1+$A104)^2)*0.025-($B$52*(1+$A104)^2)*0.030-(($B$52*(1+$A104)^2-$B$52*(1+$A104)^1))*0.07)/(1+0.121)^1.5+((($B$52*(1+$A104)^3)*((-3+($A104*0+C$101+3)*0.42857142857142855)))-(MAX(0,(($B$52*(1+$A104)^3)*((-3+($A104*0+C$101+3)*0.42857142857142855)))*$B$46))+($B$52*(1+$A104)^3)*0.025-($B$52*(1+$A104)^3)*0.030-(($B$52*(1+$A104)^3-$B$52*(1+$A104)^2))*0.07)/(1+0.121)^2.5+((($B$52*(1+$A104)^4)*((-3+($A104*0+C$101+3)*0.5714285714285714)))-(MAX(0,(($B$52*(1+$A104)^4)*((-3+($A104*0+C$101+3)*0.5714285714285714)))*$B$46))+($B$52*(1+$A104)^4)*0.025-($B$52*(1+$A104)^4)*0.030-(($B$52*(1+$A104)^4-$B$52*(1+$A104)^3))*0.07)/(1+0.121)^3.5+((($B$52*(1+$A104)^5)*((-3+($A104*0+C$101+3)*0.7142857142857143)))-(MAX(0,(($B$52*(1+$A104)^5)*((-3+($A104*0+C$101+3)*0.7142857142857143)))*$B$46))+($B$52*(1+$A104)^5)*0.025-($B$52*(1+$A104)^5)*0.030-(($B$52*(1+$A104)^5-$B$52*(1+$A104)^4))*0.07)/(1+0.121)^4.5+((($B$52*(1+$A104)^6)*((-3+($A104*0+C$101+3)*0.8571428571428571)))-(MAX(0,(($B$52*(1+$A104)^6)*((-3+($A104*0+C$101+3)*0.8571428571428571)))*$B$46))+($B$52*(1+$A104)^6)*0.025-($B$52*(1+$A104)^6)*0.030-(($B$52*(1+$A104)^6-$B$52*(1+$A104)^5))*0.07)/(1+0.121)^5.5+((($B$52*(1+$A104)^7)*((-3+($A104*0+C$101+3)*1.0)))-(MAX(0,(($B$52*(1+$A104)^7)*((-3+($A104*0+C$101+3)*1.0)))*$B$46))+($B$52*(1+$A104)^7)*0.025-($B$52*(1+$A104)^7)*0.030-(($B$52*(1+$A104)^7-$B$52*(1+$A104)^6))*0.07)/(1+0.121)^6.5)+(($B$52*(1+$A104)^7*((-3+($A104*0+C$101+3)*1)*(1-$B$46)+0.025-0.030-0.07*$A104/(1+$A104)))*1.03/(0.121-0.03))/(1+0.121)^6.5</f>
        <v/>
      </c>
      <c r="D104" s="22">
        <f>(((($B$52*(1+$A104)^1)*((-3+($A104*0+D$101+3)*0.14285714285714285)))-(MAX(0,(($B$52*(1+$A104)^1)*((-3+($A104*0+D$101+3)*0.14285714285714285)))*$B$46))+($B$52*(1+$A104)^1)*0.025-($B$52*(1+$A104)^1)*0.030-(($B$52*(1+$A104)^1-$B$52))*0.07)/(1+0.121)^0.5+((($B$52*(1+$A104)^2)*((-3+($A104*0+D$101+3)*0.2857142857142857)))-(MAX(0,(($B$52*(1+$A104)^2)*((-3+($A104*0+D$101+3)*0.2857142857142857)))*$B$46))+($B$52*(1+$A104)^2)*0.025-($B$52*(1+$A104)^2)*0.030-(($B$52*(1+$A104)^2-$B$52*(1+$A104)^1))*0.07)/(1+0.121)^1.5+((($B$52*(1+$A104)^3)*((-3+($A104*0+D$101+3)*0.42857142857142855)))-(MAX(0,(($B$52*(1+$A104)^3)*((-3+($A104*0+D$101+3)*0.42857142857142855)))*$B$46))+($B$52*(1+$A104)^3)*0.025-($B$52*(1+$A104)^3)*0.030-(($B$52*(1+$A104)^3-$B$52*(1+$A104)^2))*0.07)/(1+0.121)^2.5+((($B$52*(1+$A104)^4)*((-3+($A104*0+D$101+3)*0.5714285714285714)))-(MAX(0,(($B$52*(1+$A104)^4)*((-3+($A104*0+D$101+3)*0.5714285714285714)))*$B$46))+($B$52*(1+$A104)^4)*0.025-($B$52*(1+$A104)^4)*0.030-(($B$52*(1+$A104)^4-$B$52*(1+$A104)^3))*0.07)/(1+0.121)^3.5+((($B$52*(1+$A104)^5)*((-3+($A104*0+D$101+3)*0.7142857142857143)))-(MAX(0,(($B$52*(1+$A104)^5)*((-3+($A104*0+D$101+3)*0.7142857142857143)))*$B$46))+($B$52*(1+$A104)^5)*0.025-($B$52*(1+$A104)^5)*0.030-(($B$52*(1+$A104)^5-$B$52*(1+$A104)^4))*0.07)/(1+0.121)^4.5+((($B$52*(1+$A104)^6)*((-3+($A104*0+D$101+3)*0.8571428571428571)))-(MAX(0,(($B$52*(1+$A104)^6)*((-3+($A104*0+D$101+3)*0.8571428571428571)))*$B$46))+($B$52*(1+$A104)^6)*0.025-($B$52*(1+$A104)^6)*0.030-(($B$52*(1+$A104)^6-$B$52*(1+$A104)^5))*0.07)/(1+0.121)^5.5+((($B$52*(1+$A104)^7)*((-3+($A104*0+D$101+3)*1.0)))-(MAX(0,(($B$52*(1+$A104)^7)*((-3+($A104*0+D$101+3)*1.0)))*$B$46))+($B$52*(1+$A104)^7)*0.025-($B$52*(1+$A104)^7)*0.030-(($B$52*(1+$A104)^7-$B$52*(1+$A104)^6))*0.07)/(1+0.121)^6.5)+(($B$52*(1+$A104)^7*((-3+($A104*0+D$101+3)*1)*(1-$B$46)+0.025-0.030-0.07*$A104/(1+$A104)))*1.03/(0.121-0.03))/(1+0.121)^6.5</f>
        <v/>
      </c>
      <c r="E104" s="25">
        <f>(((($B$52*(1+$A104)^1)*((-3+($A104*0+E$101+3)*0.14285714285714285)))-(MAX(0,(($B$52*(1+$A104)^1)*((-3+($A104*0+E$101+3)*0.14285714285714285)))*$B$46))+($B$52*(1+$A104)^1)*0.025-($B$52*(1+$A104)^1)*0.030-(($B$52*(1+$A104)^1-$B$52))*0.07)/(1+0.121)^0.5+((($B$52*(1+$A104)^2)*((-3+($A104*0+E$101+3)*0.2857142857142857)))-(MAX(0,(($B$52*(1+$A104)^2)*((-3+($A104*0+E$101+3)*0.2857142857142857)))*$B$46))+($B$52*(1+$A104)^2)*0.025-($B$52*(1+$A104)^2)*0.030-(($B$52*(1+$A104)^2-$B$52*(1+$A104)^1))*0.07)/(1+0.121)^1.5+((($B$52*(1+$A104)^3)*((-3+($A104*0+E$101+3)*0.42857142857142855)))-(MAX(0,(($B$52*(1+$A104)^3)*((-3+($A104*0+E$101+3)*0.42857142857142855)))*$B$46))+($B$52*(1+$A104)^3)*0.025-($B$52*(1+$A104)^3)*0.030-(($B$52*(1+$A104)^3-$B$52*(1+$A104)^2))*0.07)/(1+0.121)^2.5+((($B$52*(1+$A104)^4)*((-3+($A104*0+E$101+3)*0.5714285714285714)))-(MAX(0,(($B$52*(1+$A104)^4)*((-3+($A104*0+E$101+3)*0.5714285714285714)))*$B$46))+($B$52*(1+$A104)^4)*0.025-($B$52*(1+$A104)^4)*0.030-(($B$52*(1+$A104)^4-$B$52*(1+$A104)^3))*0.07)/(1+0.121)^3.5+((($B$52*(1+$A104)^5)*((-3+($A104*0+E$101+3)*0.7142857142857143)))-(MAX(0,(($B$52*(1+$A104)^5)*((-3+($A104*0+E$101+3)*0.7142857142857143)))*$B$46))+($B$52*(1+$A104)^5)*0.025-($B$52*(1+$A104)^5)*0.030-(($B$52*(1+$A104)^5-$B$52*(1+$A104)^4))*0.07)/(1+0.121)^4.5+((($B$52*(1+$A104)^6)*((-3+($A104*0+E$101+3)*0.8571428571428571)))-(MAX(0,(($B$52*(1+$A104)^6)*((-3+($A104*0+E$101+3)*0.8571428571428571)))*$B$46))+($B$52*(1+$A104)^6)*0.025-($B$52*(1+$A104)^6)*0.030-(($B$52*(1+$A104)^6-$B$52*(1+$A104)^5))*0.07)/(1+0.121)^5.5+((($B$52*(1+$A104)^7)*((-3+($A104*0+E$101+3)*1.0)))-(MAX(0,(($B$52*(1+$A104)^7)*((-3+($A104*0+E$101+3)*1.0)))*$B$46))+($B$52*(1+$A104)^7)*0.025-($B$52*(1+$A104)^7)*0.030-(($B$52*(1+$A104)^7-$B$52*(1+$A104)^6))*0.07)/(1+0.121)^6.5)+(($B$52*(1+$A104)^7*((-3+($A104*0+E$101+3)*1)*(1-$B$46)+0.025-0.030-0.07*$A104/(1+$A104)))*1.03/(0.121-0.03))/(1+0.121)^6.5</f>
        <v/>
      </c>
      <c r="F104" s="22">
        <f>(((($B$52*(1+$A104)^1)*((-3+($A104*0+F$101+3)*0.14285714285714285)))-(MAX(0,(($B$52*(1+$A104)^1)*((-3+($A104*0+F$101+3)*0.14285714285714285)))*$B$46))+($B$52*(1+$A104)^1)*0.025-($B$52*(1+$A104)^1)*0.030-(($B$52*(1+$A104)^1-$B$52))*0.07)/(1+0.121)^0.5+((($B$52*(1+$A104)^2)*((-3+($A104*0+F$101+3)*0.2857142857142857)))-(MAX(0,(($B$52*(1+$A104)^2)*((-3+($A104*0+F$101+3)*0.2857142857142857)))*$B$46))+($B$52*(1+$A104)^2)*0.025-($B$52*(1+$A104)^2)*0.030-(($B$52*(1+$A104)^2-$B$52*(1+$A104)^1))*0.07)/(1+0.121)^1.5+((($B$52*(1+$A104)^3)*((-3+($A104*0+F$101+3)*0.42857142857142855)))-(MAX(0,(($B$52*(1+$A104)^3)*((-3+($A104*0+F$101+3)*0.42857142857142855)))*$B$46))+($B$52*(1+$A104)^3)*0.025-($B$52*(1+$A104)^3)*0.030-(($B$52*(1+$A104)^3-$B$52*(1+$A104)^2))*0.07)/(1+0.121)^2.5+((($B$52*(1+$A104)^4)*((-3+($A104*0+F$101+3)*0.5714285714285714)))-(MAX(0,(($B$52*(1+$A104)^4)*((-3+($A104*0+F$101+3)*0.5714285714285714)))*$B$46))+($B$52*(1+$A104)^4)*0.025-($B$52*(1+$A104)^4)*0.030-(($B$52*(1+$A104)^4-$B$52*(1+$A104)^3))*0.07)/(1+0.121)^3.5+((($B$52*(1+$A104)^5)*((-3+($A104*0+F$101+3)*0.7142857142857143)))-(MAX(0,(($B$52*(1+$A104)^5)*((-3+($A104*0+F$101+3)*0.7142857142857143)))*$B$46))+($B$52*(1+$A104)^5)*0.025-($B$52*(1+$A104)^5)*0.030-(($B$52*(1+$A104)^5-$B$52*(1+$A104)^4))*0.07)/(1+0.121)^4.5+((($B$52*(1+$A104)^6)*((-3+($A104*0+F$101+3)*0.8571428571428571)))-(MAX(0,(($B$52*(1+$A104)^6)*((-3+($A104*0+F$101+3)*0.8571428571428571)))*$B$46))+($B$52*(1+$A104)^6)*0.025-($B$52*(1+$A104)^6)*0.030-(($B$52*(1+$A104)^6-$B$52*(1+$A104)^5))*0.07)/(1+0.121)^5.5+((($B$52*(1+$A104)^7)*((-3+($A104*0+F$101+3)*1.0)))-(MAX(0,(($B$52*(1+$A104)^7)*((-3+($A104*0+F$101+3)*1.0)))*$B$46))+($B$52*(1+$A104)^7)*0.025-($B$52*(1+$A104)^7)*0.030-(($B$52*(1+$A104)^7-$B$52*(1+$A104)^6))*0.07)/(1+0.121)^6.5)+(($B$52*(1+$A104)^7*((-3+($A104*0+F$101+3)*1)*(1-$B$46)+0.025-0.030-0.07*$A104/(1+$A104)))*1.03/(0.121-0.03))/(1+0.121)^6.5</f>
        <v/>
      </c>
    </row>
    <row r="105">
      <c r="A105" s="24" t="n">
        <v>1.25</v>
      </c>
      <c r="B105" s="22">
        <f>(((($B$52*(1+$A105)^1)*((-3+($A105*0+B$101+3)*0.14285714285714285)))-(MAX(0,(($B$52*(1+$A105)^1)*((-3+($A105*0+B$101+3)*0.14285714285714285)))*$B$46))+($B$52*(1+$A105)^1)*0.025-($B$52*(1+$A105)^1)*0.030-(($B$52*(1+$A105)^1-$B$52))*0.07)/(1+0.121)^0.5+((($B$52*(1+$A105)^2)*((-3+($A105*0+B$101+3)*0.2857142857142857)))-(MAX(0,(($B$52*(1+$A105)^2)*((-3+($A105*0+B$101+3)*0.2857142857142857)))*$B$46))+($B$52*(1+$A105)^2)*0.025-($B$52*(1+$A105)^2)*0.030-(($B$52*(1+$A105)^2-$B$52*(1+$A105)^1))*0.07)/(1+0.121)^1.5+((($B$52*(1+$A105)^3)*((-3+($A105*0+B$101+3)*0.42857142857142855)))-(MAX(0,(($B$52*(1+$A105)^3)*((-3+($A105*0+B$101+3)*0.42857142857142855)))*$B$46))+($B$52*(1+$A105)^3)*0.025-($B$52*(1+$A105)^3)*0.030-(($B$52*(1+$A105)^3-$B$52*(1+$A105)^2))*0.07)/(1+0.121)^2.5+((($B$52*(1+$A105)^4)*((-3+($A105*0+B$101+3)*0.5714285714285714)))-(MAX(0,(($B$52*(1+$A105)^4)*((-3+($A105*0+B$101+3)*0.5714285714285714)))*$B$46))+($B$52*(1+$A105)^4)*0.025-($B$52*(1+$A105)^4)*0.030-(($B$52*(1+$A105)^4-$B$52*(1+$A105)^3))*0.07)/(1+0.121)^3.5+((($B$52*(1+$A105)^5)*((-3+($A105*0+B$101+3)*0.7142857142857143)))-(MAX(0,(($B$52*(1+$A105)^5)*((-3+($A105*0+B$101+3)*0.7142857142857143)))*$B$46))+($B$52*(1+$A105)^5)*0.025-($B$52*(1+$A105)^5)*0.030-(($B$52*(1+$A105)^5-$B$52*(1+$A105)^4))*0.07)/(1+0.121)^4.5+((($B$52*(1+$A105)^6)*((-3+($A105*0+B$101+3)*0.8571428571428571)))-(MAX(0,(($B$52*(1+$A105)^6)*((-3+($A105*0+B$101+3)*0.8571428571428571)))*$B$46))+($B$52*(1+$A105)^6)*0.025-($B$52*(1+$A105)^6)*0.030-(($B$52*(1+$A105)^6-$B$52*(1+$A105)^5))*0.07)/(1+0.121)^5.5+((($B$52*(1+$A105)^7)*((-3+($A105*0+B$101+3)*1.0)))-(MAX(0,(($B$52*(1+$A105)^7)*((-3+($A105*0+B$101+3)*1.0)))*$B$46))+($B$52*(1+$A105)^7)*0.025-($B$52*(1+$A105)^7)*0.030-(($B$52*(1+$A105)^7-$B$52*(1+$A105)^6))*0.07)/(1+0.121)^6.5)+(($B$52*(1+$A105)^7*((-3+($A105*0+B$101+3)*1)*(1-$B$46)+0.025-0.030-0.07*$A105/(1+$A105)))*1.03/(0.121-0.03))/(1+0.121)^6.5</f>
        <v/>
      </c>
      <c r="C105" s="22">
        <f>(((($B$52*(1+$A105)^1)*((-3+($A105*0+C$101+3)*0.14285714285714285)))-(MAX(0,(($B$52*(1+$A105)^1)*((-3+($A105*0+C$101+3)*0.14285714285714285)))*$B$46))+($B$52*(1+$A105)^1)*0.025-($B$52*(1+$A105)^1)*0.030-(($B$52*(1+$A105)^1-$B$52))*0.07)/(1+0.121)^0.5+((($B$52*(1+$A105)^2)*((-3+($A105*0+C$101+3)*0.2857142857142857)))-(MAX(0,(($B$52*(1+$A105)^2)*((-3+($A105*0+C$101+3)*0.2857142857142857)))*$B$46))+($B$52*(1+$A105)^2)*0.025-($B$52*(1+$A105)^2)*0.030-(($B$52*(1+$A105)^2-$B$52*(1+$A105)^1))*0.07)/(1+0.121)^1.5+((($B$52*(1+$A105)^3)*((-3+($A105*0+C$101+3)*0.42857142857142855)))-(MAX(0,(($B$52*(1+$A105)^3)*((-3+($A105*0+C$101+3)*0.42857142857142855)))*$B$46))+($B$52*(1+$A105)^3)*0.025-($B$52*(1+$A105)^3)*0.030-(($B$52*(1+$A105)^3-$B$52*(1+$A105)^2))*0.07)/(1+0.121)^2.5+((($B$52*(1+$A105)^4)*((-3+($A105*0+C$101+3)*0.5714285714285714)))-(MAX(0,(($B$52*(1+$A105)^4)*((-3+($A105*0+C$101+3)*0.5714285714285714)))*$B$46))+($B$52*(1+$A105)^4)*0.025-($B$52*(1+$A105)^4)*0.030-(($B$52*(1+$A105)^4-$B$52*(1+$A105)^3))*0.07)/(1+0.121)^3.5+((($B$52*(1+$A105)^5)*((-3+($A105*0+C$101+3)*0.7142857142857143)))-(MAX(0,(($B$52*(1+$A105)^5)*((-3+($A105*0+C$101+3)*0.7142857142857143)))*$B$46))+($B$52*(1+$A105)^5)*0.025-($B$52*(1+$A105)^5)*0.030-(($B$52*(1+$A105)^5-$B$52*(1+$A105)^4))*0.07)/(1+0.121)^4.5+((($B$52*(1+$A105)^6)*((-3+($A105*0+C$101+3)*0.8571428571428571)))-(MAX(0,(($B$52*(1+$A105)^6)*((-3+($A105*0+C$101+3)*0.8571428571428571)))*$B$46))+($B$52*(1+$A105)^6)*0.025-($B$52*(1+$A105)^6)*0.030-(($B$52*(1+$A105)^6-$B$52*(1+$A105)^5))*0.07)/(1+0.121)^5.5+((($B$52*(1+$A105)^7)*((-3+($A105*0+C$101+3)*1.0)))-(MAX(0,(($B$52*(1+$A105)^7)*((-3+($A105*0+C$101+3)*1.0)))*$B$46))+($B$52*(1+$A105)^7)*0.025-($B$52*(1+$A105)^7)*0.030-(($B$52*(1+$A105)^7-$B$52*(1+$A105)^6))*0.07)/(1+0.121)^6.5)+(($B$52*(1+$A105)^7*((-3+($A105*0+C$101+3)*1)*(1-$B$46)+0.025-0.030-0.07*$A105/(1+$A105)))*1.03/(0.121-0.03))/(1+0.121)^6.5</f>
        <v/>
      </c>
      <c r="D105" s="22">
        <f>(((($B$52*(1+$A105)^1)*((-3+($A105*0+D$101+3)*0.14285714285714285)))-(MAX(0,(($B$52*(1+$A105)^1)*((-3+($A105*0+D$101+3)*0.14285714285714285)))*$B$46))+($B$52*(1+$A105)^1)*0.025-($B$52*(1+$A105)^1)*0.030-(($B$52*(1+$A105)^1-$B$52))*0.07)/(1+0.121)^0.5+((($B$52*(1+$A105)^2)*((-3+($A105*0+D$101+3)*0.2857142857142857)))-(MAX(0,(($B$52*(1+$A105)^2)*((-3+($A105*0+D$101+3)*0.2857142857142857)))*$B$46))+($B$52*(1+$A105)^2)*0.025-($B$52*(1+$A105)^2)*0.030-(($B$52*(1+$A105)^2-$B$52*(1+$A105)^1))*0.07)/(1+0.121)^1.5+((($B$52*(1+$A105)^3)*((-3+($A105*0+D$101+3)*0.42857142857142855)))-(MAX(0,(($B$52*(1+$A105)^3)*((-3+($A105*0+D$101+3)*0.42857142857142855)))*$B$46))+($B$52*(1+$A105)^3)*0.025-($B$52*(1+$A105)^3)*0.030-(($B$52*(1+$A105)^3-$B$52*(1+$A105)^2))*0.07)/(1+0.121)^2.5+((($B$52*(1+$A105)^4)*((-3+($A105*0+D$101+3)*0.5714285714285714)))-(MAX(0,(($B$52*(1+$A105)^4)*((-3+($A105*0+D$101+3)*0.5714285714285714)))*$B$46))+($B$52*(1+$A105)^4)*0.025-($B$52*(1+$A105)^4)*0.030-(($B$52*(1+$A105)^4-$B$52*(1+$A105)^3))*0.07)/(1+0.121)^3.5+((($B$52*(1+$A105)^5)*((-3+($A105*0+D$101+3)*0.7142857142857143)))-(MAX(0,(($B$52*(1+$A105)^5)*((-3+($A105*0+D$101+3)*0.7142857142857143)))*$B$46))+($B$52*(1+$A105)^5)*0.025-($B$52*(1+$A105)^5)*0.030-(($B$52*(1+$A105)^5-$B$52*(1+$A105)^4))*0.07)/(1+0.121)^4.5+((($B$52*(1+$A105)^6)*((-3+($A105*0+D$101+3)*0.8571428571428571)))-(MAX(0,(($B$52*(1+$A105)^6)*((-3+($A105*0+D$101+3)*0.8571428571428571)))*$B$46))+($B$52*(1+$A105)^6)*0.025-($B$52*(1+$A105)^6)*0.030-(($B$52*(1+$A105)^6-$B$52*(1+$A105)^5))*0.07)/(1+0.121)^5.5+((($B$52*(1+$A105)^7)*((-3+($A105*0+D$101+3)*1.0)))-(MAX(0,(($B$52*(1+$A105)^7)*((-3+($A105*0+D$101+3)*1.0)))*$B$46))+($B$52*(1+$A105)^7)*0.025-($B$52*(1+$A105)^7)*0.030-(($B$52*(1+$A105)^7-$B$52*(1+$A105)^6))*0.07)/(1+0.121)^6.5)+(($B$52*(1+$A105)^7*((-3+($A105*0+D$101+3)*1)*(1-$B$46)+0.025-0.030-0.07*$A105/(1+$A105)))*1.03/(0.121-0.03))/(1+0.121)^6.5</f>
        <v/>
      </c>
      <c r="E105" s="22">
        <f>(((($B$52*(1+$A105)^1)*((-3+($A105*0+E$101+3)*0.14285714285714285)))-(MAX(0,(($B$52*(1+$A105)^1)*((-3+($A105*0+E$101+3)*0.14285714285714285)))*$B$46))+($B$52*(1+$A105)^1)*0.025-($B$52*(1+$A105)^1)*0.030-(($B$52*(1+$A105)^1-$B$52))*0.07)/(1+0.121)^0.5+((($B$52*(1+$A105)^2)*((-3+($A105*0+E$101+3)*0.2857142857142857)))-(MAX(0,(($B$52*(1+$A105)^2)*((-3+($A105*0+E$101+3)*0.2857142857142857)))*$B$46))+($B$52*(1+$A105)^2)*0.025-($B$52*(1+$A105)^2)*0.030-(($B$52*(1+$A105)^2-$B$52*(1+$A105)^1))*0.07)/(1+0.121)^1.5+((($B$52*(1+$A105)^3)*((-3+($A105*0+E$101+3)*0.42857142857142855)))-(MAX(0,(($B$52*(1+$A105)^3)*((-3+($A105*0+E$101+3)*0.42857142857142855)))*$B$46))+($B$52*(1+$A105)^3)*0.025-($B$52*(1+$A105)^3)*0.030-(($B$52*(1+$A105)^3-$B$52*(1+$A105)^2))*0.07)/(1+0.121)^2.5+((($B$52*(1+$A105)^4)*((-3+($A105*0+E$101+3)*0.5714285714285714)))-(MAX(0,(($B$52*(1+$A105)^4)*((-3+($A105*0+E$101+3)*0.5714285714285714)))*$B$46))+($B$52*(1+$A105)^4)*0.025-($B$52*(1+$A105)^4)*0.030-(($B$52*(1+$A105)^4-$B$52*(1+$A105)^3))*0.07)/(1+0.121)^3.5+((($B$52*(1+$A105)^5)*((-3+($A105*0+E$101+3)*0.7142857142857143)))-(MAX(0,(($B$52*(1+$A105)^5)*((-3+($A105*0+E$101+3)*0.7142857142857143)))*$B$46))+($B$52*(1+$A105)^5)*0.025-($B$52*(1+$A105)^5)*0.030-(($B$52*(1+$A105)^5-$B$52*(1+$A105)^4))*0.07)/(1+0.121)^4.5+((($B$52*(1+$A105)^6)*((-3+($A105*0+E$101+3)*0.8571428571428571)))-(MAX(0,(($B$52*(1+$A105)^6)*((-3+($A105*0+E$101+3)*0.8571428571428571)))*$B$46))+($B$52*(1+$A105)^6)*0.025-($B$52*(1+$A105)^6)*0.030-(($B$52*(1+$A105)^6-$B$52*(1+$A105)^5))*0.07)/(1+0.121)^5.5+((($B$52*(1+$A105)^7)*((-3+($A105*0+E$101+3)*1.0)))-(MAX(0,(($B$52*(1+$A105)^7)*((-3+($A105*0+E$101+3)*1.0)))*$B$46))+($B$52*(1+$A105)^7)*0.025-($B$52*(1+$A105)^7)*0.030-(($B$52*(1+$A105)^7-$B$52*(1+$A105)^6))*0.07)/(1+0.121)^6.5)+(($B$52*(1+$A105)^7*((-3+($A105*0+E$101+3)*1)*(1-$B$46)+0.025-0.030-0.07*$A105/(1+$A105)))*1.03/(0.121-0.03))/(1+0.121)^6.5</f>
        <v/>
      </c>
      <c r="F105" s="22">
        <f>(((($B$52*(1+$A105)^1)*((-3+($A105*0+F$101+3)*0.14285714285714285)))-(MAX(0,(($B$52*(1+$A105)^1)*((-3+($A105*0+F$101+3)*0.14285714285714285)))*$B$46))+($B$52*(1+$A105)^1)*0.025-($B$52*(1+$A105)^1)*0.030-(($B$52*(1+$A105)^1-$B$52))*0.07)/(1+0.121)^0.5+((($B$52*(1+$A105)^2)*((-3+($A105*0+F$101+3)*0.2857142857142857)))-(MAX(0,(($B$52*(1+$A105)^2)*((-3+($A105*0+F$101+3)*0.2857142857142857)))*$B$46))+($B$52*(1+$A105)^2)*0.025-($B$52*(1+$A105)^2)*0.030-(($B$52*(1+$A105)^2-$B$52*(1+$A105)^1))*0.07)/(1+0.121)^1.5+((($B$52*(1+$A105)^3)*((-3+($A105*0+F$101+3)*0.42857142857142855)))-(MAX(0,(($B$52*(1+$A105)^3)*((-3+($A105*0+F$101+3)*0.42857142857142855)))*$B$46))+($B$52*(1+$A105)^3)*0.025-($B$52*(1+$A105)^3)*0.030-(($B$52*(1+$A105)^3-$B$52*(1+$A105)^2))*0.07)/(1+0.121)^2.5+((($B$52*(1+$A105)^4)*((-3+($A105*0+F$101+3)*0.5714285714285714)))-(MAX(0,(($B$52*(1+$A105)^4)*((-3+($A105*0+F$101+3)*0.5714285714285714)))*$B$46))+($B$52*(1+$A105)^4)*0.025-($B$52*(1+$A105)^4)*0.030-(($B$52*(1+$A105)^4-$B$52*(1+$A105)^3))*0.07)/(1+0.121)^3.5+((($B$52*(1+$A105)^5)*((-3+($A105*0+F$101+3)*0.7142857142857143)))-(MAX(0,(($B$52*(1+$A105)^5)*((-3+($A105*0+F$101+3)*0.7142857142857143)))*$B$46))+($B$52*(1+$A105)^5)*0.025-($B$52*(1+$A105)^5)*0.030-(($B$52*(1+$A105)^5-$B$52*(1+$A105)^4))*0.07)/(1+0.121)^4.5+((($B$52*(1+$A105)^6)*((-3+($A105*0+F$101+3)*0.8571428571428571)))-(MAX(0,(($B$52*(1+$A105)^6)*((-3+($A105*0+F$101+3)*0.8571428571428571)))*$B$46))+($B$52*(1+$A105)^6)*0.025-($B$52*(1+$A105)^6)*0.030-(($B$52*(1+$A105)^6-$B$52*(1+$A105)^5))*0.07)/(1+0.121)^5.5+((($B$52*(1+$A105)^7)*((-3+($A105*0+F$101+3)*1.0)))-(MAX(0,(($B$52*(1+$A105)^7)*((-3+($A105*0+F$101+3)*1.0)))*$B$46))+($B$52*(1+$A105)^7)*0.025-($B$52*(1+$A105)^7)*0.030-(($B$52*(1+$A105)^7-$B$52*(1+$A105)^6))*0.07)/(1+0.121)^6.5)+(($B$52*(1+$A105)^7*((-3+($A105*0+F$101+3)*1)*(1-$B$46)+0.025-0.030-0.07*$A105/(1+$A105)))*1.03/(0.121-0.03))/(1+0.121)^6.5</f>
        <v/>
      </c>
    </row>
    <row r="106">
      <c r="A106" s="24" t="n">
        <v>1.5</v>
      </c>
      <c r="B106" s="22">
        <f>(((($B$52*(1+$A106)^1)*((-3+($A106*0+B$101+3)*0.14285714285714285)))-(MAX(0,(($B$52*(1+$A106)^1)*((-3+($A106*0+B$101+3)*0.14285714285714285)))*$B$46))+($B$52*(1+$A106)^1)*0.025-($B$52*(1+$A106)^1)*0.030-(($B$52*(1+$A106)^1-$B$52))*0.07)/(1+0.121)^0.5+((($B$52*(1+$A106)^2)*((-3+($A106*0+B$101+3)*0.2857142857142857)))-(MAX(0,(($B$52*(1+$A106)^2)*((-3+($A106*0+B$101+3)*0.2857142857142857)))*$B$46))+($B$52*(1+$A106)^2)*0.025-($B$52*(1+$A106)^2)*0.030-(($B$52*(1+$A106)^2-$B$52*(1+$A106)^1))*0.07)/(1+0.121)^1.5+((($B$52*(1+$A106)^3)*((-3+($A106*0+B$101+3)*0.42857142857142855)))-(MAX(0,(($B$52*(1+$A106)^3)*((-3+($A106*0+B$101+3)*0.42857142857142855)))*$B$46))+($B$52*(1+$A106)^3)*0.025-($B$52*(1+$A106)^3)*0.030-(($B$52*(1+$A106)^3-$B$52*(1+$A106)^2))*0.07)/(1+0.121)^2.5+((($B$52*(1+$A106)^4)*((-3+($A106*0+B$101+3)*0.5714285714285714)))-(MAX(0,(($B$52*(1+$A106)^4)*((-3+($A106*0+B$101+3)*0.5714285714285714)))*$B$46))+($B$52*(1+$A106)^4)*0.025-($B$52*(1+$A106)^4)*0.030-(($B$52*(1+$A106)^4-$B$52*(1+$A106)^3))*0.07)/(1+0.121)^3.5+((($B$52*(1+$A106)^5)*((-3+($A106*0+B$101+3)*0.7142857142857143)))-(MAX(0,(($B$52*(1+$A106)^5)*((-3+($A106*0+B$101+3)*0.7142857142857143)))*$B$46))+($B$52*(1+$A106)^5)*0.025-($B$52*(1+$A106)^5)*0.030-(($B$52*(1+$A106)^5-$B$52*(1+$A106)^4))*0.07)/(1+0.121)^4.5+((($B$52*(1+$A106)^6)*((-3+($A106*0+B$101+3)*0.8571428571428571)))-(MAX(0,(($B$52*(1+$A106)^6)*((-3+($A106*0+B$101+3)*0.8571428571428571)))*$B$46))+($B$52*(1+$A106)^6)*0.025-($B$52*(1+$A106)^6)*0.030-(($B$52*(1+$A106)^6-$B$52*(1+$A106)^5))*0.07)/(1+0.121)^5.5+((($B$52*(1+$A106)^7)*((-3+($A106*0+B$101+3)*1.0)))-(MAX(0,(($B$52*(1+$A106)^7)*((-3+($A106*0+B$101+3)*1.0)))*$B$46))+($B$52*(1+$A106)^7)*0.025-($B$52*(1+$A106)^7)*0.030-(($B$52*(1+$A106)^7-$B$52*(1+$A106)^6))*0.07)/(1+0.121)^6.5)+(($B$52*(1+$A106)^7*((-3+($A106*0+B$101+3)*1)*(1-$B$46)+0.025-0.030-0.07*$A106/(1+$A106)))*1.03/(0.121-0.03))/(1+0.121)^6.5</f>
        <v/>
      </c>
      <c r="C106" s="22">
        <f>(((($B$52*(1+$A106)^1)*((-3+($A106*0+C$101+3)*0.14285714285714285)))-(MAX(0,(($B$52*(1+$A106)^1)*((-3+($A106*0+C$101+3)*0.14285714285714285)))*$B$46))+($B$52*(1+$A106)^1)*0.025-($B$52*(1+$A106)^1)*0.030-(($B$52*(1+$A106)^1-$B$52))*0.07)/(1+0.121)^0.5+((($B$52*(1+$A106)^2)*((-3+($A106*0+C$101+3)*0.2857142857142857)))-(MAX(0,(($B$52*(1+$A106)^2)*((-3+($A106*0+C$101+3)*0.2857142857142857)))*$B$46))+($B$52*(1+$A106)^2)*0.025-($B$52*(1+$A106)^2)*0.030-(($B$52*(1+$A106)^2-$B$52*(1+$A106)^1))*0.07)/(1+0.121)^1.5+((($B$52*(1+$A106)^3)*((-3+($A106*0+C$101+3)*0.42857142857142855)))-(MAX(0,(($B$52*(1+$A106)^3)*((-3+($A106*0+C$101+3)*0.42857142857142855)))*$B$46))+($B$52*(1+$A106)^3)*0.025-($B$52*(1+$A106)^3)*0.030-(($B$52*(1+$A106)^3-$B$52*(1+$A106)^2))*0.07)/(1+0.121)^2.5+((($B$52*(1+$A106)^4)*((-3+($A106*0+C$101+3)*0.5714285714285714)))-(MAX(0,(($B$52*(1+$A106)^4)*((-3+($A106*0+C$101+3)*0.5714285714285714)))*$B$46))+($B$52*(1+$A106)^4)*0.025-($B$52*(1+$A106)^4)*0.030-(($B$52*(1+$A106)^4-$B$52*(1+$A106)^3))*0.07)/(1+0.121)^3.5+((($B$52*(1+$A106)^5)*((-3+($A106*0+C$101+3)*0.7142857142857143)))-(MAX(0,(($B$52*(1+$A106)^5)*((-3+($A106*0+C$101+3)*0.7142857142857143)))*$B$46))+($B$52*(1+$A106)^5)*0.025-($B$52*(1+$A106)^5)*0.030-(($B$52*(1+$A106)^5-$B$52*(1+$A106)^4))*0.07)/(1+0.121)^4.5+((($B$52*(1+$A106)^6)*((-3+($A106*0+C$101+3)*0.8571428571428571)))-(MAX(0,(($B$52*(1+$A106)^6)*((-3+($A106*0+C$101+3)*0.8571428571428571)))*$B$46))+($B$52*(1+$A106)^6)*0.025-($B$52*(1+$A106)^6)*0.030-(($B$52*(1+$A106)^6-$B$52*(1+$A106)^5))*0.07)/(1+0.121)^5.5+((($B$52*(1+$A106)^7)*((-3+($A106*0+C$101+3)*1.0)))-(MAX(0,(($B$52*(1+$A106)^7)*((-3+($A106*0+C$101+3)*1.0)))*$B$46))+($B$52*(1+$A106)^7)*0.025-($B$52*(1+$A106)^7)*0.030-(($B$52*(1+$A106)^7-$B$52*(1+$A106)^6))*0.07)/(1+0.121)^6.5)+(($B$52*(1+$A106)^7*((-3+($A106*0+C$101+3)*1)*(1-$B$46)+0.025-0.030-0.07*$A106/(1+$A106)))*1.03/(0.121-0.03))/(1+0.121)^6.5</f>
        <v/>
      </c>
      <c r="D106" s="22">
        <f>(((($B$52*(1+$A106)^1)*((-3+($A106*0+D$101+3)*0.14285714285714285)))-(MAX(0,(($B$52*(1+$A106)^1)*((-3+($A106*0+D$101+3)*0.14285714285714285)))*$B$46))+($B$52*(1+$A106)^1)*0.025-($B$52*(1+$A106)^1)*0.030-(($B$52*(1+$A106)^1-$B$52))*0.07)/(1+0.121)^0.5+((($B$52*(1+$A106)^2)*((-3+($A106*0+D$101+3)*0.2857142857142857)))-(MAX(0,(($B$52*(1+$A106)^2)*((-3+($A106*0+D$101+3)*0.2857142857142857)))*$B$46))+($B$52*(1+$A106)^2)*0.025-($B$52*(1+$A106)^2)*0.030-(($B$52*(1+$A106)^2-$B$52*(1+$A106)^1))*0.07)/(1+0.121)^1.5+((($B$52*(1+$A106)^3)*((-3+($A106*0+D$101+3)*0.42857142857142855)))-(MAX(0,(($B$52*(1+$A106)^3)*((-3+($A106*0+D$101+3)*0.42857142857142855)))*$B$46))+($B$52*(1+$A106)^3)*0.025-($B$52*(1+$A106)^3)*0.030-(($B$52*(1+$A106)^3-$B$52*(1+$A106)^2))*0.07)/(1+0.121)^2.5+((($B$52*(1+$A106)^4)*((-3+($A106*0+D$101+3)*0.5714285714285714)))-(MAX(0,(($B$52*(1+$A106)^4)*((-3+($A106*0+D$101+3)*0.5714285714285714)))*$B$46))+($B$52*(1+$A106)^4)*0.025-($B$52*(1+$A106)^4)*0.030-(($B$52*(1+$A106)^4-$B$52*(1+$A106)^3))*0.07)/(1+0.121)^3.5+((($B$52*(1+$A106)^5)*((-3+($A106*0+D$101+3)*0.7142857142857143)))-(MAX(0,(($B$52*(1+$A106)^5)*((-3+($A106*0+D$101+3)*0.7142857142857143)))*$B$46))+($B$52*(1+$A106)^5)*0.025-($B$52*(1+$A106)^5)*0.030-(($B$52*(1+$A106)^5-$B$52*(1+$A106)^4))*0.07)/(1+0.121)^4.5+((($B$52*(1+$A106)^6)*((-3+($A106*0+D$101+3)*0.8571428571428571)))-(MAX(0,(($B$52*(1+$A106)^6)*((-3+($A106*0+D$101+3)*0.8571428571428571)))*$B$46))+($B$52*(1+$A106)^6)*0.025-($B$52*(1+$A106)^6)*0.030-(($B$52*(1+$A106)^6-$B$52*(1+$A106)^5))*0.07)/(1+0.121)^5.5+((($B$52*(1+$A106)^7)*((-3+($A106*0+D$101+3)*1.0)))-(MAX(0,(($B$52*(1+$A106)^7)*((-3+($A106*0+D$101+3)*1.0)))*$B$46))+($B$52*(1+$A106)^7)*0.025-($B$52*(1+$A106)^7)*0.030-(($B$52*(1+$A106)^7-$B$52*(1+$A106)^6))*0.07)/(1+0.121)^6.5)+(($B$52*(1+$A106)^7*((-3+($A106*0+D$101+3)*1)*(1-$B$46)+0.025-0.030-0.07*$A106/(1+$A106)))*1.03/(0.121-0.03))/(1+0.121)^6.5</f>
        <v/>
      </c>
      <c r="E106" s="22">
        <f>(((($B$52*(1+$A106)^1)*((-3+($A106*0+E$101+3)*0.14285714285714285)))-(MAX(0,(($B$52*(1+$A106)^1)*((-3+($A106*0+E$101+3)*0.14285714285714285)))*$B$46))+($B$52*(1+$A106)^1)*0.025-($B$52*(1+$A106)^1)*0.030-(($B$52*(1+$A106)^1-$B$52))*0.07)/(1+0.121)^0.5+((($B$52*(1+$A106)^2)*((-3+($A106*0+E$101+3)*0.2857142857142857)))-(MAX(0,(($B$52*(1+$A106)^2)*((-3+($A106*0+E$101+3)*0.2857142857142857)))*$B$46))+($B$52*(1+$A106)^2)*0.025-($B$52*(1+$A106)^2)*0.030-(($B$52*(1+$A106)^2-$B$52*(1+$A106)^1))*0.07)/(1+0.121)^1.5+((($B$52*(1+$A106)^3)*((-3+($A106*0+E$101+3)*0.42857142857142855)))-(MAX(0,(($B$52*(1+$A106)^3)*((-3+($A106*0+E$101+3)*0.42857142857142855)))*$B$46))+($B$52*(1+$A106)^3)*0.025-($B$52*(1+$A106)^3)*0.030-(($B$52*(1+$A106)^3-$B$52*(1+$A106)^2))*0.07)/(1+0.121)^2.5+((($B$52*(1+$A106)^4)*((-3+($A106*0+E$101+3)*0.5714285714285714)))-(MAX(0,(($B$52*(1+$A106)^4)*((-3+($A106*0+E$101+3)*0.5714285714285714)))*$B$46))+($B$52*(1+$A106)^4)*0.025-($B$52*(1+$A106)^4)*0.030-(($B$52*(1+$A106)^4-$B$52*(1+$A106)^3))*0.07)/(1+0.121)^3.5+((($B$52*(1+$A106)^5)*((-3+($A106*0+E$101+3)*0.7142857142857143)))-(MAX(0,(($B$52*(1+$A106)^5)*((-3+($A106*0+E$101+3)*0.7142857142857143)))*$B$46))+($B$52*(1+$A106)^5)*0.025-($B$52*(1+$A106)^5)*0.030-(($B$52*(1+$A106)^5-$B$52*(1+$A106)^4))*0.07)/(1+0.121)^4.5+((($B$52*(1+$A106)^6)*((-3+($A106*0+E$101+3)*0.8571428571428571)))-(MAX(0,(($B$52*(1+$A106)^6)*((-3+($A106*0+E$101+3)*0.8571428571428571)))*$B$46))+($B$52*(1+$A106)^6)*0.025-($B$52*(1+$A106)^6)*0.030-(($B$52*(1+$A106)^6-$B$52*(1+$A106)^5))*0.07)/(1+0.121)^5.5+((($B$52*(1+$A106)^7)*((-3+($A106*0+E$101+3)*1.0)))-(MAX(0,(($B$52*(1+$A106)^7)*((-3+($A106*0+E$101+3)*1.0)))*$B$46))+($B$52*(1+$A106)^7)*0.025-($B$52*(1+$A106)^7)*0.030-(($B$52*(1+$A106)^7-$B$52*(1+$A106)^6))*0.07)/(1+0.121)^6.5)+(($B$52*(1+$A106)^7*((-3+($A106*0+E$101+3)*1)*(1-$B$46)+0.025-0.030-0.07*$A106/(1+$A106)))*1.03/(0.121-0.03))/(1+0.121)^6.5</f>
        <v/>
      </c>
      <c r="F106" s="22">
        <f>(((($B$52*(1+$A106)^1)*((-3+($A106*0+F$101+3)*0.14285714285714285)))-(MAX(0,(($B$52*(1+$A106)^1)*((-3+($A106*0+F$101+3)*0.14285714285714285)))*$B$46))+($B$52*(1+$A106)^1)*0.025-($B$52*(1+$A106)^1)*0.030-(($B$52*(1+$A106)^1-$B$52))*0.07)/(1+0.121)^0.5+((($B$52*(1+$A106)^2)*((-3+($A106*0+F$101+3)*0.2857142857142857)))-(MAX(0,(($B$52*(1+$A106)^2)*((-3+($A106*0+F$101+3)*0.2857142857142857)))*$B$46))+($B$52*(1+$A106)^2)*0.025-($B$52*(1+$A106)^2)*0.030-(($B$52*(1+$A106)^2-$B$52*(1+$A106)^1))*0.07)/(1+0.121)^1.5+((($B$52*(1+$A106)^3)*((-3+($A106*0+F$101+3)*0.42857142857142855)))-(MAX(0,(($B$52*(1+$A106)^3)*((-3+($A106*0+F$101+3)*0.42857142857142855)))*$B$46))+($B$52*(1+$A106)^3)*0.025-($B$52*(1+$A106)^3)*0.030-(($B$52*(1+$A106)^3-$B$52*(1+$A106)^2))*0.07)/(1+0.121)^2.5+((($B$52*(1+$A106)^4)*((-3+($A106*0+F$101+3)*0.5714285714285714)))-(MAX(0,(($B$52*(1+$A106)^4)*((-3+($A106*0+F$101+3)*0.5714285714285714)))*$B$46))+($B$52*(1+$A106)^4)*0.025-($B$52*(1+$A106)^4)*0.030-(($B$52*(1+$A106)^4-$B$52*(1+$A106)^3))*0.07)/(1+0.121)^3.5+((($B$52*(1+$A106)^5)*((-3+($A106*0+F$101+3)*0.7142857142857143)))-(MAX(0,(($B$52*(1+$A106)^5)*((-3+($A106*0+F$101+3)*0.7142857142857143)))*$B$46))+($B$52*(1+$A106)^5)*0.025-($B$52*(1+$A106)^5)*0.030-(($B$52*(1+$A106)^5-$B$52*(1+$A106)^4))*0.07)/(1+0.121)^4.5+((($B$52*(1+$A106)^6)*((-3+($A106*0+F$101+3)*0.8571428571428571)))-(MAX(0,(($B$52*(1+$A106)^6)*((-3+($A106*0+F$101+3)*0.8571428571428571)))*$B$46))+($B$52*(1+$A106)^6)*0.025-($B$52*(1+$A106)^6)*0.030-(($B$52*(1+$A106)^6-$B$52*(1+$A106)^5))*0.07)/(1+0.121)^5.5+((($B$52*(1+$A106)^7)*((-3+($A106*0+F$101+3)*1.0)))-(MAX(0,(($B$52*(1+$A106)^7)*((-3+($A106*0+F$101+3)*1.0)))*$B$46))+($B$52*(1+$A106)^7)*0.025-($B$52*(1+$A106)^7)*0.030-(($B$52*(1+$A106)^7-$B$52*(1+$A106)^6))*0.07)/(1+0.121)^6.5)+(($B$52*(1+$A106)^7*((-3+($A106*0+F$101+3)*1)*(1-$B$46)+0.025-0.030-0.07*$A106/(1+$A106)))*1.03/(0.121-0.03))/(1+0.121)^6.5</f>
        <v/>
      </c>
    </row>
  </sheetData>
  <mergeCells count="14">
    <mergeCell ref="A1:J1"/>
    <mergeCell ref="A37:J37"/>
    <mergeCell ref="A45:J45"/>
    <mergeCell ref="A74:J74"/>
    <mergeCell ref="A88:J88"/>
    <mergeCell ref="A100:J100"/>
    <mergeCell ref="A21:J21"/>
    <mergeCell ref="A29:J29"/>
    <mergeCell ref="A4:J4"/>
    <mergeCell ref="A7:J7"/>
    <mergeCell ref="A50:J50"/>
    <mergeCell ref="A65:J65"/>
    <mergeCell ref="A2:J2"/>
    <mergeCell ref="A13:J13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Lupine Materials Science — WACC</t>
        </is>
      </c>
    </row>
    <row r="3">
      <c r="A3" s="3" t="inlineStr">
        <is>
          <t>COST OF EQUITY (CAPM)</t>
        </is>
      </c>
      <c r="B3" s="4" t="n"/>
      <c r="C3" s="4" t="n"/>
      <c r="D3" s="4" t="n"/>
    </row>
    <row r="4">
      <c r="A4" s="8" t="inlineStr">
        <is>
          <t>Risk-free rate (10Y Treasury)</t>
        </is>
      </c>
      <c r="B4" s="26" t="n">
        <v>0.044</v>
      </c>
    </row>
    <row r="5">
      <c r="A5" s="8" t="inlineStr">
        <is>
          <t>Levered beta (vertical SaaS)</t>
        </is>
      </c>
      <c r="B5" s="19" t="n">
        <v>1.4</v>
      </c>
    </row>
    <row r="6">
      <c r="A6" s="8" t="inlineStr">
        <is>
          <t>Equity risk premium</t>
        </is>
      </c>
      <c r="B6" s="26" t="n">
        <v>0.055</v>
      </c>
    </row>
    <row r="7">
      <c r="A7" s="5" t="inlineStr">
        <is>
          <t>Cost of equity (CAPM)</t>
        </is>
      </c>
      <c r="B7" s="11">
        <f>B4+B5*B6</f>
        <v/>
      </c>
    </row>
    <row r="9">
      <c r="A9" s="3" t="inlineStr">
        <is>
          <t>COST OF DEBT</t>
        </is>
      </c>
      <c r="B9" s="4" t="n"/>
      <c r="C9" s="4" t="n"/>
      <c r="D9" s="4" t="n"/>
    </row>
    <row r="10">
      <c r="A10" s="8" t="inlineStr">
        <is>
          <t>Pre-tax cost of debt</t>
        </is>
      </c>
      <c r="B10" s="26" t="n">
        <v>0.08</v>
      </c>
    </row>
    <row r="11">
      <c r="A11" s="8" t="inlineStr">
        <is>
          <t>Tax rate</t>
        </is>
      </c>
      <c r="B11" s="26" t="n">
        <v>0.21</v>
      </c>
    </row>
    <row r="12">
      <c r="A12" s="8" t="inlineStr">
        <is>
          <t>After-tax cost of debt</t>
        </is>
      </c>
      <c r="B12" s="11">
        <f>B10*(1-B11)</f>
        <v/>
      </c>
    </row>
    <row r="14">
      <c r="A14" s="3" t="inlineStr">
        <is>
          <t>CAPITAL STRUCTURE (post-seed)</t>
        </is>
      </c>
      <c r="B14" s="4" t="n"/>
      <c r="C14" s="4" t="n"/>
      <c r="D14" s="4" t="n"/>
    </row>
    <row r="15">
      <c r="A15" s="8" t="inlineStr">
        <is>
          <t>Equity weight</t>
        </is>
      </c>
      <c r="B15" s="26" t="n">
        <v>1</v>
      </c>
    </row>
    <row r="16">
      <c r="A16" s="8" t="inlineStr">
        <is>
          <t>Debt weight</t>
        </is>
      </c>
      <c r="B16" s="11">
        <f>1-B15</f>
        <v/>
      </c>
    </row>
    <row r="18">
      <c r="A18" s="3" t="inlineStr">
        <is>
          <t>WACC RESULT</t>
        </is>
      </c>
      <c r="B18" s="4" t="n"/>
      <c r="C18" s="4" t="n"/>
      <c r="D18" s="4" t="n"/>
    </row>
    <row r="19">
      <c r="A19" s="12" t="inlineStr">
        <is>
          <t>Component</t>
        </is>
      </c>
      <c r="B19" s="12" t="inlineStr">
        <is>
          <t>Weight</t>
        </is>
      </c>
      <c r="C19" s="12" t="inlineStr">
        <is>
          <t>Cost</t>
        </is>
      </c>
      <c r="D19" s="12" t="inlineStr">
        <is>
          <t>Contribution</t>
        </is>
      </c>
    </row>
    <row r="20">
      <c r="A20" s="8" t="inlineStr">
        <is>
          <t>Equity</t>
        </is>
      </c>
      <c r="B20" s="11">
        <f>B15</f>
        <v/>
      </c>
      <c r="C20" s="11">
        <f>B7</f>
        <v/>
      </c>
      <c r="D20" s="11">
        <f>B20*C20</f>
        <v/>
      </c>
    </row>
    <row r="21">
      <c r="A21" s="8" t="inlineStr">
        <is>
          <t>Debt</t>
        </is>
      </c>
      <c r="B21" s="11">
        <f>B16</f>
        <v/>
      </c>
      <c r="C21" s="11">
        <f>B12</f>
        <v/>
      </c>
      <c r="D21" s="11">
        <f>B21*C21</f>
        <v/>
      </c>
    </row>
    <row r="23">
      <c r="A23" s="5" t="inlineStr">
        <is>
          <t>WACC (base case)</t>
        </is>
      </c>
      <c r="B23" s="27">
        <f>D20+D21</f>
        <v/>
      </c>
    </row>
  </sheetData>
  <mergeCells count="5">
    <mergeCell ref="A1:D1"/>
    <mergeCell ref="A9:D9"/>
    <mergeCell ref="A18:D18"/>
    <mergeCell ref="A3:D3"/>
    <mergeCell ref="A14:D14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2026-05-09T14:59:02Z</dcterms:created>
  <dcterms:modified xsi:type="dcterms:W3CDTF">2026-05-09T14:59:02Z</dcterms:modified>
</cp:coreProperties>
</file>