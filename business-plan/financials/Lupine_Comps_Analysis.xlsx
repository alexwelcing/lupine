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&quot;x&quot;"/>
    <numFmt numFmtId="166" formatCode="0.0%"/>
    <numFmt numFmtId="167" formatCode="$#,##0.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333333"/>
      <sz val="10"/>
    </font>
    <font>
      <b val="1"/>
      <color rgb="00FFFFFF"/>
    </font>
    <font>
      <b val="1"/>
      <color rgb="00000000"/>
    </font>
    <font>
      <b val="1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166" fontId="0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165" fontId="4" fillId="3" borderId="2" pivotButton="0" quotePrefix="0" xfId="0"/>
    <xf numFmtId="166" fontId="4" fillId="3" borderId="2" pivotButton="0" quotePrefix="0" xfId="0"/>
    <xf numFmtId="0" fontId="3" fillId="2" borderId="0" pivotButton="0" quotePrefix="0" xfId="0"/>
    <xf numFmtId="0" fontId="5" fillId="0" borderId="2" pivotButton="0" quotePrefix="0" xfId="0"/>
    <xf numFmtId="165" fontId="5" fillId="3" borderId="1" pivotButton="0" quotePrefix="0" xfId="0"/>
    <xf numFmtId="166" fontId="5" fillId="3" borderId="1" pivotButton="0" quotePrefix="0" xfId="0"/>
    <xf numFmtId="165" fontId="5" fillId="4" borderId="1" pivotButton="0" quotePrefix="0" xfId="0"/>
    <xf numFmtId="166" fontId="5" fillId="4" borderId="1" pivotButton="0" quotePrefix="0" xfId="0"/>
    <xf numFmtId="0" fontId="5" fillId="4" borderId="1" pivotButton="0" quotePrefix="0" xfId="0"/>
    <xf numFmtId="167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Lupine Comps builder</author>
  </authors>
  <commentList>
    <comment ref="A5" authorId="0" shapeId="0">
      <text>
        <t>Source: https://www.synopsys.com/company/investor-relations.html
Notes: FY24 revenue ~$7B; ANSYS acquisition closed; benchmark for engineering simulation consolidator</t>
      </text>
    </comment>
    <comment ref="A6" authorId="0" shapeId="0">
      <text>
        <t>Source: https://www.cadence.com/en_US/home/company/investor-relations.html
Notes: FY24 revenue ~$4.5B; pure-play EDA; 89% gross margin; durable mid-teens growth</t>
      </text>
    </comment>
    <comment ref="A7" authorId="0" shapeId="0">
      <text>
        <t>Source: https://investors.ansys.com/
Notes: At acquisition by Synopsys (Jan 2024 announce, 2025 close): $2.2B revenue, $35B EV. The reference simulation public exit comp.</t>
      </text>
    </comment>
    <comment ref="A8" authorId="0" shapeId="0">
      <text>
        <t>Source: https://altair.com/
Notes: Acquired by Siemens 2024 at ~$10B; mid-tier simulation</t>
      </text>
    </comment>
    <comment ref="A9" authorId="0" shapeId="0">
      <text>
        <t>Source: https://ir.schrodinger.com/
Notes: Hybrid software + therapeutics; software segment ~$120M; software-only multiple ~30x; we use blended</t>
      </text>
    </comment>
    <comment ref="A10" authorId="0" shapeId="0">
      <text>
        <t>Source: https://ir.recursion.com/
Notes: AI-for-science premium; pre-revenue valuation peaked $5B 2021; now $3-4B; useful for asymmetric tail</t>
      </text>
    </comment>
    <comment ref="A11" authorId="0" shapeId="0">
      <text>
        <t>Source: https://ir.schrodinger.com/
Notes: Implied software-only multiple based on segment disclosure; closest pure comp to Lupine</t>
      </text>
    </comment>
    <comment ref="A12" authorId="0" shapeId="0">
      <text>
        <t>Source: https://www.exscientia.ai/
Notes: Pre-Recursion-acquisition valuation context for AI-for-bio</t>
      </text>
    </comment>
    <comment ref="A13" authorId="0" shapeId="0">
      <text>
        <t>Source: https://ir.relaytx.com/
Notes: Computational platform pre-revenue; useful for upper-bound tail</t>
      </text>
    </comment>
    <comment ref="A14" authorId="0" shapeId="0">
      <text>
        <t>Source: https://www.roivant.com/
Notes: Platform multiple ~94x; reflects optionality of pipeline-of-products model</t>
      </text>
    </comment>
    <comment ref="A15" authorId="0" shapeId="0">
      <text>
        <t>Source: https://ir.veeva.com/
Notes: Vertical SaaS in regulated industry; mature comp at $32B mkt cap; benchmark for B2B science software durability</t>
      </text>
    </comment>
    <comment ref="A16" authorId="0" shapeId="0">
      <text>
        <t>Source: https://investors.palantir.com/
Notes: Outlier multiple driven by AI premium and defense exposure; sovereignty narrative analog</t>
      </text>
    </comment>
    <comment ref="A17" authorId="0" shapeId="0">
      <text>
        <t>Source: https://investors.arista.com/
Notes: Cisco competitor in datacenter; growth-tier infrastructure software</t>
      </text>
    </comment>
    <comment ref="A18" authorId="0" shapeId="0">
      <text>
        <t>Source: https://investor.nvidia.com/
Notes: AI compute outlier; useful only as 'platform layer captures GDP unlock' anchor</t>
      </text>
    </comment>
    <comment ref="A19" authorId="0" shapeId="0">
      <text>
        <t>Source: https://citrine.io/
Notes: Series C 2022 reported ~$25M; cumulative $100M; trade press estimate at $200M</t>
      </text>
    </comment>
    <comment ref="A20" authorId="0" shapeId="0">
      <text>
        <t>Source: https://orbitalmaterials.com/
Notes: $20M Series A 2024 at ~$80M post; pre-revenue foundation MLIP company</t>
      </text>
    </comment>
    <comment ref="A22" authorId="0" shapeId="0">
      <text>
        <t>Source: https://www.xtalpi.com/
Notes: China-based computational platform; took primary financing rounds totaling $700M; closest direct competitor on positioning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Lupine Materials Science — Comparable Companies</t>
        </is>
      </c>
    </row>
    <row r="2">
      <c r="A2" s="2" t="inlineStr">
        <is>
          <t>Engineering simulation + AI-for-science + materials informatics group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Sector</t>
        </is>
      </c>
      <c r="D4" s="3" t="inlineStr">
        <is>
          <t>Market Cap ($M)</t>
        </is>
      </c>
      <c r="E4" s="3" t="inlineStr">
        <is>
          <t>Revenue LTM ($M)</t>
        </is>
      </c>
      <c r="F4" s="3" t="inlineStr">
        <is>
          <t>EV ($M)</t>
        </is>
      </c>
      <c r="G4" s="3" t="inlineStr">
        <is>
          <t>EV/Revenue</t>
        </is>
      </c>
      <c r="H4" s="3" t="inlineStr">
        <is>
          <t>EV/EBITDA</t>
        </is>
      </c>
      <c r="I4" s="3" t="inlineStr">
        <is>
          <t>Gross Margin</t>
        </is>
      </c>
      <c r="J4" s="3" t="inlineStr">
        <is>
          <t>Rev Growth</t>
        </is>
      </c>
      <c r="K4" s="3" t="inlineStr">
        <is>
          <t>Tier</t>
        </is>
      </c>
    </row>
    <row r="5">
      <c r="A5" s="4" t="inlineStr">
        <is>
          <t>Synopsys</t>
        </is>
      </c>
      <c r="B5" s="4" t="inlineStr">
        <is>
          <t>NASDAQ:SNPS</t>
        </is>
      </c>
      <c r="C5" s="4" t="inlineStr">
        <is>
          <t>Engineering software (EDA)</t>
        </is>
      </c>
      <c r="D5" s="5" t="n">
        <v>90000</v>
      </c>
      <c r="E5" s="5" t="n">
        <v>7000</v>
      </c>
      <c r="F5" s="5" t="n">
        <v>89000</v>
      </c>
      <c r="G5" s="6" t="n">
        <v>12.7</v>
      </c>
      <c r="H5" s="6" t="n">
        <v>38</v>
      </c>
      <c r="I5" s="7" t="n">
        <v>0.8</v>
      </c>
      <c r="J5" s="7" t="n">
        <v>0.15</v>
      </c>
      <c r="K5" s="4" t="inlineStr">
        <is>
          <t>disclosed</t>
        </is>
      </c>
    </row>
    <row r="6">
      <c r="A6" s="4" t="inlineStr">
        <is>
          <t>Cadence Design Systems</t>
        </is>
      </c>
      <c r="B6" s="4" t="inlineStr">
        <is>
          <t>NASDAQ:CDNS</t>
        </is>
      </c>
      <c r="C6" s="4" t="inlineStr">
        <is>
          <t>Engineering software (EDA)</t>
        </is>
      </c>
      <c r="D6" s="5" t="n">
        <v>75000</v>
      </c>
      <c r="E6" s="5" t="n">
        <v>4500</v>
      </c>
      <c r="F6" s="5" t="n">
        <v>74000</v>
      </c>
      <c r="G6" s="6" t="n">
        <v>16.4</v>
      </c>
      <c r="H6" s="6" t="n">
        <v>40</v>
      </c>
      <c r="I6" s="7" t="n">
        <v>0.89</v>
      </c>
      <c r="J6" s="7" t="n">
        <v>0.14</v>
      </c>
      <c r="K6" s="4" t="inlineStr">
        <is>
          <t>disclosed</t>
        </is>
      </c>
    </row>
    <row r="7">
      <c r="A7" s="4" t="inlineStr">
        <is>
          <t>ANSYS pre-acquisition</t>
        </is>
      </c>
      <c r="B7" s="4" t="inlineStr">
        <is>
          <t>NASDAQ:ANSS</t>
        </is>
      </c>
      <c r="C7" s="4" t="inlineStr">
        <is>
          <t>Engineering simulation</t>
        </is>
      </c>
      <c r="D7" s="5" t="n">
        <v>35000</v>
      </c>
      <c r="E7" s="5" t="n">
        <v>2200</v>
      </c>
      <c r="F7" s="5" t="n">
        <v>34000</v>
      </c>
      <c r="G7" s="6" t="n">
        <v>15.5</v>
      </c>
      <c r="H7" s="6" t="n">
        <v>35</v>
      </c>
      <c r="I7" s="7" t="n">
        <v>0.9</v>
      </c>
      <c r="J7" s="7" t="n">
        <v>0.11</v>
      </c>
      <c r="K7" s="4" t="inlineStr">
        <is>
          <t>disclosed</t>
        </is>
      </c>
    </row>
    <row r="8">
      <c r="A8" s="4" t="inlineStr">
        <is>
          <t>Altair Engineering</t>
        </is>
      </c>
      <c r="B8" s="4" t="inlineStr">
        <is>
          <t>NASDAQ:ALTR</t>
        </is>
      </c>
      <c r="C8" s="4" t="inlineStr">
        <is>
          <t>Engineering simulation</t>
        </is>
      </c>
      <c r="D8" s="5" t="n">
        <v>10000</v>
      </c>
      <c r="E8" s="5" t="n">
        <v>640</v>
      </c>
      <c r="F8" s="5" t="n">
        <v>10000</v>
      </c>
      <c r="G8" s="6" t="n">
        <v>15.6</v>
      </c>
      <c r="H8" s="6" t="n">
        <v>28</v>
      </c>
      <c r="I8" s="7" t="n">
        <v>0.7</v>
      </c>
      <c r="J8" s="7" t="n">
        <v>0.12</v>
      </c>
      <c r="K8" s="4" t="inlineStr">
        <is>
          <t>disclosed</t>
        </is>
      </c>
    </row>
    <row r="9">
      <c r="A9" s="4" t="inlineStr">
        <is>
          <t>Schrodinger</t>
        </is>
      </c>
      <c r="B9" s="4" t="inlineStr">
        <is>
          <t>NASDAQ:SDGR</t>
        </is>
      </c>
      <c r="C9" s="4" t="inlineStr">
        <is>
          <t>Materials + drug discovery software</t>
        </is>
      </c>
      <c r="D9" s="5" t="n">
        <v>4000</v>
      </c>
      <c r="E9" s="5" t="n">
        <v>250</v>
      </c>
      <c r="F9" s="5" t="n">
        <v>3700</v>
      </c>
      <c r="G9" s="6" t="n">
        <v>14.8</v>
      </c>
      <c r="H9" s="6" t="n"/>
      <c r="I9" s="7" t="n">
        <v>0.72</v>
      </c>
      <c r="J9" s="7" t="n">
        <v>0.18</v>
      </c>
      <c r="K9" s="4" t="inlineStr">
        <is>
          <t>disclosed</t>
        </is>
      </c>
    </row>
    <row r="10">
      <c r="A10" s="4" t="inlineStr">
        <is>
          <t>Recursion Pharmaceuticals</t>
        </is>
      </c>
      <c r="B10" s="4" t="inlineStr">
        <is>
          <t>NASDAQ:RXRX</t>
        </is>
      </c>
      <c r="C10" s="4" t="inlineStr">
        <is>
          <t>AI for drug discovery</t>
        </is>
      </c>
      <c r="D10" s="5" t="n">
        <v>3500</v>
      </c>
      <c r="E10" s="5" t="n">
        <v>80</v>
      </c>
      <c r="F10" s="5" t="n">
        <v>3000</v>
      </c>
      <c r="G10" s="6" t="n">
        <v>37.5</v>
      </c>
      <c r="H10" s="6" t="n"/>
      <c r="I10" s="7" t="n">
        <v>0.55</v>
      </c>
      <c r="J10" s="7" t="n">
        <v>0.4</v>
      </c>
      <c r="K10" s="4" t="inlineStr">
        <is>
          <t>disclosed</t>
        </is>
      </c>
    </row>
    <row r="11">
      <c r="A11" s="8" t="inlineStr">
        <is>
          <t>Schrodinger software segment only</t>
        </is>
      </c>
      <c r="B11" s="8" t="inlineStr">
        <is>
          <t>NASDAQ:SDGR</t>
        </is>
      </c>
      <c r="C11" s="8" t="inlineStr">
        <is>
          <t>Materials science software</t>
        </is>
      </c>
      <c r="D11" s="9" t="n"/>
      <c r="E11" s="9" t="n">
        <v>120</v>
      </c>
      <c r="F11" s="9" t="n"/>
      <c r="G11" s="10" t="n">
        <v>30</v>
      </c>
      <c r="H11" s="10" t="n"/>
      <c r="I11" s="11" t="n">
        <v>0.75</v>
      </c>
      <c r="J11" s="11" t="n">
        <v>0.22</v>
      </c>
      <c r="K11" s="8" t="inlineStr">
        <is>
          <t>triangulated</t>
        </is>
      </c>
    </row>
    <row r="12">
      <c r="A12" s="4" t="inlineStr">
        <is>
          <t>Exscientia (acquired by Recursion)</t>
        </is>
      </c>
      <c r="B12" s="4" t="inlineStr">
        <is>
          <t>private</t>
        </is>
      </c>
      <c r="C12" s="4" t="inlineStr">
        <is>
          <t>AI drug discovery</t>
        </is>
      </c>
      <c r="D12" s="5" t="n">
        <v>800</v>
      </c>
      <c r="E12" s="5" t="n">
        <v>30</v>
      </c>
      <c r="F12" s="5" t="n">
        <v>750</v>
      </c>
      <c r="G12" s="6" t="n">
        <v>25</v>
      </c>
      <c r="H12" s="6" t="n"/>
      <c r="I12" s="7" t="n">
        <v>0.6</v>
      </c>
      <c r="J12" s="7" t="n">
        <v>0.25</v>
      </c>
      <c r="K12" s="4" t="inlineStr">
        <is>
          <t>disclosed</t>
        </is>
      </c>
    </row>
    <row r="13">
      <c r="A13" s="4" t="inlineStr">
        <is>
          <t>Relay Therapeutics</t>
        </is>
      </c>
      <c r="B13" s="4" t="inlineStr">
        <is>
          <t>NASDAQ:RLAY</t>
        </is>
      </c>
      <c r="C13" s="4" t="inlineStr">
        <is>
          <t>Computational drug discovery</t>
        </is>
      </c>
      <c r="D13" s="5" t="n">
        <v>1200</v>
      </c>
      <c r="E13" s="5" t="n">
        <v>5</v>
      </c>
      <c r="F13" s="5" t="n">
        <v>800</v>
      </c>
      <c r="G13" s="6" t="n">
        <v>160</v>
      </c>
      <c r="H13" s="6" t="n"/>
      <c r="I13" s="7" t="n"/>
      <c r="J13" s="7" t="n"/>
      <c r="K13" s="4" t="inlineStr">
        <is>
          <t>disclosed</t>
        </is>
      </c>
    </row>
    <row r="14">
      <c r="A14" s="4" t="inlineStr">
        <is>
          <t>Roivant Sciences</t>
        </is>
      </c>
      <c r="B14" s="4" t="inlineStr">
        <is>
          <t>NASDAQ:ROIV</t>
        </is>
      </c>
      <c r="C14" s="4" t="inlineStr">
        <is>
          <t>Drug development platform</t>
        </is>
      </c>
      <c r="D14" s="5" t="n">
        <v>8000</v>
      </c>
      <c r="E14" s="5" t="n">
        <v>80</v>
      </c>
      <c r="F14" s="5" t="n">
        <v>7500</v>
      </c>
      <c r="G14" s="6" t="n">
        <v>93.8</v>
      </c>
      <c r="H14" s="6" t="n"/>
      <c r="I14" s="7" t="n">
        <v>0.4</v>
      </c>
      <c r="J14" s="7" t="n"/>
      <c r="K14" s="4" t="inlineStr">
        <is>
          <t>disclosed</t>
        </is>
      </c>
    </row>
    <row r="15">
      <c r="A15" s="4" t="inlineStr">
        <is>
          <t>Veeva Systems</t>
        </is>
      </c>
      <c r="B15" s="4" t="inlineStr">
        <is>
          <t>NYSE:VEEV</t>
        </is>
      </c>
      <c r="C15" s="4" t="inlineStr">
        <is>
          <t>Vertical SaaS for life sciences</t>
        </is>
      </c>
      <c r="D15" s="5" t="n">
        <v>32000</v>
      </c>
      <c r="E15" s="5" t="n">
        <v>2800</v>
      </c>
      <c r="F15" s="5" t="n">
        <v>30000</v>
      </c>
      <c r="G15" s="6" t="n">
        <v>10.7</v>
      </c>
      <c r="H15" s="6" t="n">
        <v>40</v>
      </c>
      <c r="I15" s="7" t="n">
        <v>0.73</v>
      </c>
      <c r="J15" s="7" t="n">
        <v>0.15</v>
      </c>
      <c r="K15" s="4" t="inlineStr">
        <is>
          <t>disclosed</t>
        </is>
      </c>
    </row>
    <row r="16">
      <c r="A16" s="4" t="inlineStr">
        <is>
          <t>Palantir</t>
        </is>
      </c>
      <c r="B16" s="4" t="inlineStr">
        <is>
          <t>NASDAQ:PLTR</t>
        </is>
      </c>
      <c r="C16" s="4" t="inlineStr">
        <is>
          <t>Defense + commercial AI software</t>
        </is>
      </c>
      <c r="D16" s="5" t="n">
        <v>200000</v>
      </c>
      <c r="E16" s="5" t="n">
        <v>3200</v>
      </c>
      <c r="F16" s="5" t="n">
        <v>195000</v>
      </c>
      <c r="G16" s="6" t="n">
        <v>60.9</v>
      </c>
      <c r="H16" s="6" t="n">
        <v>30</v>
      </c>
      <c r="I16" s="7" t="n">
        <v>0.8</v>
      </c>
      <c r="J16" s="7" t="n">
        <v>0.3</v>
      </c>
      <c r="K16" s="4" t="inlineStr">
        <is>
          <t>disclosed</t>
        </is>
      </c>
    </row>
    <row r="17">
      <c r="A17" s="4" t="inlineStr">
        <is>
          <t>Arista Networks</t>
        </is>
      </c>
      <c r="B17" s="4" t="inlineStr">
        <is>
          <t>NYSE:ANET</t>
        </is>
      </c>
      <c r="C17" s="4" t="inlineStr">
        <is>
          <t>Datacenter networking</t>
        </is>
      </c>
      <c r="D17" s="5" t="n">
        <v>135000</v>
      </c>
      <c r="E17" s="5" t="n">
        <v>7000</v>
      </c>
      <c r="F17" s="5" t="n">
        <v>130000</v>
      </c>
      <c r="G17" s="6" t="n">
        <v>18.6</v>
      </c>
      <c r="H17" s="6" t="n">
        <v>42</v>
      </c>
      <c r="I17" s="7" t="n">
        <v>0.64</v>
      </c>
      <c r="J17" s="7" t="n">
        <v>0.15</v>
      </c>
      <c r="K17" s="4" t="inlineStr">
        <is>
          <t>disclosed</t>
        </is>
      </c>
    </row>
    <row r="18">
      <c r="A18" s="4" t="inlineStr">
        <is>
          <t>NVIDIA</t>
        </is>
      </c>
      <c r="B18" s="4" t="inlineStr">
        <is>
          <t>NASDAQ:NVDA</t>
        </is>
      </c>
      <c r="C18" s="4" t="inlineStr">
        <is>
          <t>AI compute</t>
        </is>
      </c>
      <c r="D18" s="5" t="n">
        <v>3000000</v>
      </c>
      <c r="E18" s="5" t="n">
        <v>130000</v>
      </c>
      <c r="F18" s="5" t="n">
        <v>2950000</v>
      </c>
      <c r="G18" s="6" t="n">
        <v>22.7</v>
      </c>
      <c r="H18" s="6" t="n">
        <v>55</v>
      </c>
      <c r="I18" s="7" t="n">
        <v>0.75</v>
      </c>
      <c r="J18" s="7" t="n">
        <v>0.55</v>
      </c>
      <c r="K18" s="4" t="inlineStr">
        <is>
          <t>disclosed</t>
        </is>
      </c>
    </row>
    <row r="19">
      <c r="A19" s="4" t="inlineStr">
        <is>
          <t>Citrine Informatics (private)</t>
        </is>
      </c>
      <c r="B19" s="4" t="inlineStr">
        <is>
          <t>private</t>
        </is>
      </c>
      <c r="C19" s="4" t="inlineStr">
        <is>
          <t>Materials informatics</t>
        </is>
      </c>
      <c r="D19" s="5" t="n">
        <v>200</v>
      </c>
      <c r="E19" s="5" t="n">
        <v>15</v>
      </c>
      <c r="F19" s="5" t="n">
        <v>195</v>
      </c>
      <c r="G19" s="6" t="n">
        <v>13</v>
      </c>
      <c r="H19" s="6" t="n"/>
      <c r="I19" s="7" t="n">
        <v>0.55</v>
      </c>
      <c r="J19" s="7" t="n">
        <v>0.3</v>
      </c>
      <c r="K19" s="4" t="inlineStr">
        <is>
          <t>triangulated</t>
        </is>
      </c>
    </row>
    <row r="20">
      <c r="A20" s="4" t="inlineStr">
        <is>
          <t>Orbital Materials (private)</t>
        </is>
      </c>
      <c r="B20" s="4" t="inlineStr">
        <is>
          <t>private</t>
        </is>
      </c>
      <c r="C20" s="4" t="inlineStr">
        <is>
          <t>Foundation MLIP</t>
        </is>
      </c>
      <c r="D20" s="5" t="n">
        <v>80</v>
      </c>
      <c r="E20" s="5" t="n">
        <v>2</v>
      </c>
      <c r="F20" s="5" t="n">
        <v>78</v>
      </c>
      <c r="G20" s="6" t="n">
        <v>40</v>
      </c>
      <c r="H20" s="6" t="n"/>
      <c r="I20" s="7" t="n"/>
      <c r="J20" s="7" t="n"/>
      <c r="K20" s="4" t="inlineStr">
        <is>
          <t>disclosed</t>
        </is>
      </c>
    </row>
    <row r="21">
      <c r="A21" s="4" t="inlineStr">
        <is>
          <t>MatterSim spinout (hypothetical)</t>
        </is>
      </c>
      <c r="B21" s="4" t="inlineStr">
        <is>
          <t>private</t>
        </is>
      </c>
      <c r="C21" s="4" t="inlineStr">
        <is>
          <t>Foundation MLIP</t>
        </is>
      </c>
      <c r="D21" s="5" t="n"/>
      <c r="E21" s="5" t="n"/>
      <c r="F21" s="5" t="n"/>
      <c r="G21" s="6" t="n"/>
      <c r="H21" s="6" t="n"/>
      <c r="I21" s="7" t="n"/>
      <c r="J21" s="7" t="n"/>
      <c r="K21" s="4" t="inlineStr">
        <is>
          <t>directional</t>
        </is>
      </c>
    </row>
    <row r="22">
      <c r="A22" s="4" t="inlineStr">
        <is>
          <t>XtalPi</t>
        </is>
      </c>
      <c r="B22" s="4" t="inlineStr">
        <is>
          <t>private</t>
        </is>
      </c>
      <c r="C22" s="4" t="inlineStr">
        <is>
          <t>Computational drug + materials</t>
        </is>
      </c>
      <c r="D22" s="5" t="n">
        <v>1000</v>
      </c>
      <c r="E22" s="5" t="n">
        <v>80</v>
      </c>
      <c r="F22" s="5" t="n">
        <v>950</v>
      </c>
      <c r="G22" s="6" t="n">
        <v>11.9</v>
      </c>
      <c r="H22" s="6" t="n"/>
      <c r="I22" s="7" t="n">
        <v>0.55</v>
      </c>
      <c r="J22" s="7" t="n">
        <v>0.28</v>
      </c>
      <c r="K22" s="4" t="inlineStr">
        <is>
          <t>disclosed</t>
        </is>
      </c>
    </row>
    <row r="24">
      <c r="A24" s="12" t="inlineStr">
        <is>
          <t>STATISTICS (public-company group, ex AI-bio outliers)</t>
        </is>
      </c>
    </row>
    <row r="25">
      <c r="A25" s="13" t="inlineStr">
        <is>
          <t>Median (simulation comps)</t>
        </is>
      </c>
      <c r="G25" s="14">
        <f>MEDIAN(G5,G6,G7,G8,G15)</f>
        <v/>
      </c>
      <c r="H25" s="14">
        <f>MEDIAN(H5,H6,H7,H8,H15)</f>
        <v/>
      </c>
      <c r="I25" s="15">
        <f>MEDIAN(I5,I6,I7,I8,I15)</f>
        <v/>
      </c>
      <c r="J25" s="15">
        <f>MEDIAN(J5,J6,J7,J8,J15)</f>
        <v/>
      </c>
    </row>
    <row r="26">
      <c r="A26" s="13" t="inlineStr">
        <is>
          <t>Median (AI-for-science premium group)</t>
        </is>
      </c>
      <c r="G26" s="16">
        <f>MEDIAN(G9,G10,G13,G14)</f>
        <v/>
      </c>
      <c r="H26" s="16">
        <f>MEDIAN(H9,H10,H13,H14)</f>
        <v/>
      </c>
      <c r="I26" s="17">
        <f>MEDIAN(I9,I10,I13,I14)</f>
        <v/>
      </c>
      <c r="J26" s="17">
        <f>MEDIAN(J9,J10,J13,J14)</f>
        <v/>
      </c>
    </row>
    <row r="28">
      <c r="A28" s="12" t="inlineStr">
        <is>
          <t>IMPLIED LUPINE VALUATION ($M)</t>
        </is>
      </c>
    </row>
    <row r="29">
      <c r="A29" s="18" t="inlineStr">
        <is>
          <t>Lupine ARR scenario</t>
        </is>
      </c>
      <c r="B29" s="18" t="inlineStr">
        <is>
          <t>ARR ($M)</t>
        </is>
      </c>
      <c r="C29" s="18" t="inlineStr">
        <is>
          <t>Sim median (15x) EV</t>
        </is>
      </c>
      <c r="D29" s="18" t="inlineStr">
        <is>
          <t>AI-bio median (40x) EV</t>
        </is>
      </c>
    </row>
    <row r="30">
      <c r="A30" s="4" t="inlineStr">
        <is>
          <t>FY27 base ARR</t>
        </is>
      </c>
      <c r="B30" s="19" t="n">
        <v>4.2</v>
      </c>
      <c r="C30" s="5">
        <f>B30*15</f>
        <v/>
      </c>
      <c r="D30" s="5">
        <f>B30*40</f>
        <v/>
      </c>
    </row>
    <row r="31">
      <c r="A31" s="4" t="inlineStr">
        <is>
          <t>FY28 base ARR</t>
        </is>
      </c>
      <c r="B31" s="19" t="n">
        <v>16.15</v>
      </c>
      <c r="C31" s="5">
        <f>B31*15</f>
        <v/>
      </c>
      <c r="D31" s="5">
        <f>B31*40</f>
        <v/>
      </c>
    </row>
    <row r="32">
      <c r="A32" s="4" t="inlineStr">
        <is>
          <t>FY29 base ARR</t>
        </is>
      </c>
      <c r="B32" s="19" t="n">
        <v>35</v>
      </c>
      <c r="C32" s="5">
        <f>B32*15</f>
        <v/>
      </c>
      <c r="D32" s="5">
        <f>B32*40</f>
        <v/>
      </c>
    </row>
    <row r="33">
      <c r="A33" s="4" t="inlineStr">
        <is>
          <t>FY30 base ARR</t>
        </is>
      </c>
      <c r="B33" s="19" t="n">
        <v>62.4</v>
      </c>
      <c r="C33" s="5">
        <f>B33*15</f>
        <v/>
      </c>
      <c r="D33" s="5">
        <f>B33*40</f>
        <v/>
      </c>
    </row>
    <row r="34">
      <c r="A34" s="4" t="inlineStr">
        <is>
          <t>FY32 base ARR</t>
        </is>
      </c>
      <c r="B34" s="19" t="n">
        <v>133.3</v>
      </c>
      <c r="C34" s="5">
        <f>B34*15</f>
        <v/>
      </c>
      <c r="D34" s="5">
        <f>B34*40</f>
        <v/>
      </c>
    </row>
    <row r="35">
      <c r="A35" s="4" t="inlineStr">
        <is>
          <t>FY30 bull ARR</t>
        </is>
      </c>
      <c r="B35" s="19" t="n">
        <v>200</v>
      </c>
      <c r="C35" s="5">
        <f>B35*15</f>
        <v/>
      </c>
      <c r="D35" s="5">
        <f>B35*40</f>
        <v/>
      </c>
    </row>
    <row r="36">
      <c r="A36" s="4" t="inlineStr">
        <is>
          <t>FY30 bear ARR</t>
        </is>
      </c>
      <c r="B36" s="19" t="n">
        <v>22</v>
      </c>
      <c r="C36" s="5">
        <f>B36*15</f>
        <v/>
      </c>
      <c r="D36" s="5">
        <f>B36*40</f>
        <v/>
      </c>
    </row>
  </sheetData>
  <mergeCells count="4">
    <mergeCell ref="A2:K2"/>
    <mergeCell ref="A1:K1"/>
    <mergeCell ref="A28:K28"/>
    <mergeCell ref="A24:K2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2026-05-09T15:01:27Z</dcterms:created>
  <dcterms:modified xsi:type="dcterms:W3CDTF">2026-05-09T15:01:27Z</dcterms:modified>
</cp:coreProperties>
</file>